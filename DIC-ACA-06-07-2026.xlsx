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<sst xmlns="http://schemas.openxmlformats.org/spreadsheetml/2006/main" count="390" uniqueCount="390">
  <si>
    <t>STT</t>
  </si>
  <si>
    <t>Question ID</t>
  </si>
  <si>
    <t>Sentence</t>
  </si>
  <si>
    <t>Meaning</t>
  </si>
  <si>
    <t>WFD0012</t>
  </si>
  <si>
    <t>The library will be closed for staff training tomorrow morning.</t>
  </si>
  <si>
    <t>WFD0037</t>
  </si>
  <si>
    <t>The most popular courses still have a few places left.</t>
  </si>
  <si>
    <t>WFD0055</t>
  </si>
  <si>
    <t>Essays and assignments are spread out across the academic year.</t>
  </si>
  <si>
    <t>WFD0057</t>
  </si>
  <si>
    <t>There is an accounting assignment for finance students.</t>
  </si>
  <si>
    <t>WFD0079</t>
  </si>
  <si>
    <t>Experts are now able to forecast weather over much longer periods.</t>
  </si>
  <si>
    <t>WFD0087</t>
  </si>
  <si>
    <t>Philosophy uses logic and reasons to analyze human experience.</t>
  </si>
  <si>
    <t>WFD0093</t>
  </si>
  <si>
    <t>Participating in the class is the center of the course.</t>
  </si>
  <si>
    <t>WFD0095</t>
  </si>
  <si>
    <t>Geography is generally divided into two main branches: human and physical.</t>
  </si>
  <si>
    <t>WFD0097</t>
  </si>
  <si>
    <t>We have a lecture in the morning on Thursday.</t>
  </si>
  <si>
    <t>WFD0099</t>
  </si>
  <si>
    <t>Observers waited nervously and with bated breath for the concert.</t>
  </si>
  <si>
    <t>WFD0105</t>
  </si>
  <si>
    <t>The north campus car park could be closed on Sunday.</t>
  </si>
  <si>
    <t>WFD0138</t>
  </si>
  <si>
    <t>The university has invested in new technologies designed to support learning.</t>
  </si>
  <si>
    <t>WFD0144</t>
  </si>
  <si>
    <t>Computer science has become a popular university degree course.</t>
  </si>
  <si>
    <t>WFD0171</t>
  </si>
  <si>
    <t>Daily practice can build confidence and improve skills.</t>
  </si>
  <si>
    <t>WFD0198</t>
  </si>
  <si>
    <t>Annual reports can give important information on company finances.</t>
  </si>
  <si>
    <t>WFD0296</t>
  </si>
  <si>
    <t>Banks charge interest on the money they lend to customers.</t>
  </si>
  <si>
    <t>WFD0320</t>
  </si>
  <si>
    <t>The digital camera has some advantages over traditional film.</t>
  </si>
  <si>
    <t>WFD0321</t>
  </si>
  <si>
    <t>Academic libraries across the world are steadily incorporating social media.</t>
  </si>
  <si>
    <t>WFD0328</t>
  </si>
  <si>
    <t>Participants initially select from a range of foundation subjects.</t>
  </si>
  <si>
    <t>WFD0350</t>
  </si>
  <si>
    <t>Artists, other than politicians, played their own roles as critics of the culture.</t>
  </si>
  <si>
    <t>WFD0354</t>
  </si>
  <si>
    <t>Food containing ample calories provides little or no nutritional value.</t>
  </si>
  <si>
    <t>WFD0367</t>
  </si>
  <si>
    <t>Physics is the key subject to understanding the world and the universe.</t>
  </si>
  <si>
    <t>WFD0378</t>
  </si>
  <si>
    <t>Students have the options to live in college residences or apartments.</t>
  </si>
  <si>
    <t>WFD0381</t>
  </si>
  <si>
    <t>Our courses help improve critical thinking and independent learning skills.</t>
  </si>
  <si>
    <t>WFD0407</t>
  </si>
  <si>
    <t>Affordable housing is an important issue for all members of society.</t>
  </si>
  <si>
    <t>WFD0446</t>
  </si>
  <si>
    <t>Social media is criticized for causing Internet addiction.</t>
  </si>
  <si>
    <t>WFD0452</t>
  </si>
  <si>
    <t>There is a pharmacy on campus near the bookstore.</t>
  </si>
  <si>
    <t>WFD0498</t>
  </si>
  <si>
    <t>A good architectural structure should be useful, durable and beautiful.</t>
  </si>
  <si>
    <t>WFD0499</t>
  </si>
  <si>
    <t>New materials and techniques are changing the style of modern architecture.</t>
  </si>
  <si>
    <t>WFD0502</t>
  </si>
  <si>
    <t>Statistical results should be expressed in different ways depending on the circumstances.</t>
  </si>
  <si>
    <t>WFD0518</t>
  </si>
  <si>
    <t>Students will focus on reporting news on changing the media world.</t>
  </si>
  <si>
    <t>WFD0528</t>
  </si>
  <si>
    <t>Human beings compete with other living things for resources and space.</t>
  </si>
  <si>
    <t>WFD0574</t>
  </si>
  <si>
    <t>Dealing with the growing population is a challenge for many governments.</t>
  </si>
  <si>
    <t>WFD0590</t>
  </si>
  <si>
    <t>The chemistry building is located near the entrance to the campus.</t>
  </si>
  <si>
    <t>WFD0662</t>
  </si>
  <si>
    <t>Neuroscience is a compound of completely separate parts.</t>
  </si>
  <si>
    <t>WFD0666</t>
  </si>
  <si>
    <t>The student shop sells a range of stationery.</t>
  </si>
  <si>
    <t>WFD0670</t>
  </si>
  <si>
    <t>Our professor is hosting the business development conference.</t>
  </si>
  <si>
    <t>WFD0679</t>
  </si>
  <si>
    <t>The rising temperature is changing the wildlife population.</t>
  </si>
  <si>
    <t>WFD0691</t>
  </si>
  <si>
    <t>The massive accumulation of data was converted into a communicable argument.</t>
  </si>
  <si>
    <t>WFD0709</t>
  </si>
  <si>
    <t>The toughest part of postgraduate education is funding.</t>
  </si>
  <si>
    <t>WFD0719</t>
  </si>
  <si>
    <t>Traffic is the main cause of air pollution in many cities.</t>
  </si>
  <si>
    <t>WFD0752</t>
  </si>
  <si>
    <t>An effective business manager is always open to new ideas.</t>
  </si>
  <si>
    <t>WFD0755</t>
  </si>
  <si>
    <t>Artists need to make their works both original and accessible.</t>
  </si>
  <si>
    <t>WFD0777</t>
  </si>
  <si>
    <t>A new collection of articles has just been published.</t>
  </si>
  <si>
    <t>WFD0782</t>
  </si>
  <si>
    <t>Students are encouraged to monitor their own attendance.</t>
  </si>
  <si>
    <t>WFD0790</t>
  </si>
  <si>
    <t>The railway makes long-distance travel possible for everyone.</t>
  </si>
  <si>
    <t>WFD0801</t>
  </si>
  <si>
    <t>Air pollution is a serious problem all over the world.</t>
  </si>
  <si>
    <t>WFD0802</t>
  </si>
  <si>
    <t>Protective clothing must always be worn in the laboratory.</t>
  </si>
  <si>
    <t>WFD0811</t>
  </si>
  <si>
    <t>There is a widely believed perception that engineering is for boys.</t>
  </si>
  <si>
    <t>WFD0824</t>
  </si>
  <si>
    <t>Plants are able to continue growing throughout their lives.</t>
  </si>
  <si>
    <t>WFD0840</t>
  </si>
  <si>
    <t>Rising inflation may indicate an increase in the demand for consumer products.</t>
  </si>
  <si>
    <t>WFD0887</t>
  </si>
  <si>
    <t>Muscle cells bring parts of the body closer together.</t>
  </si>
  <si>
    <t>WFD0889</t>
  </si>
  <si>
    <t>You should provide examples to support your ideas and arguments.</t>
  </si>
  <si>
    <t>WFD0970</t>
  </si>
  <si>
    <t>Animals raised in captivity behave differently than their wild counterparts.</t>
  </si>
  <si>
    <t>WFD0979</t>
  </si>
  <si>
    <t>The placement test of mathematics and statistics is offered every semester.</t>
  </si>
  <si>
    <t>WFD1037</t>
  </si>
  <si>
    <t>The use of mobile phones is not permitted in the library.</t>
  </si>
  <si>
    <t>WFD1039</t>
  </si>
  <si>
    <t>Parents' talk to children tends to be simplified.</t>
  </si>
  <si>
    <t>WFD1096</t>
  </si>
  <si>
    <t>It is really a comprehensive program covering both theory and practice.</t>
  </si>
  <si>
    <t>WFD1104</t>
  </si>
  <si>
    <t>Students are encouraged to think carefully about their accommodation needs.</t>
  </si>
  <si>
    <t>WFD1121</t>
  </si>
  <si>
    <t>The business policy seminar includes an internship with a local firm.</t>
  </si>
  <si>
    <t>WFD1143</t>
  </si>
  <si>
    <t>He wrote poetry and plays as well as scientific papers.</t>
  </si>
  <si>
    <t>WFD1145</t>
  </si>
  <si>
    <t>Consumer confidence has a direct influence on sales.</t>
  </si>
  <si>
    <t>WFD1153</t>
  </si>
  <si>
    <t>Food that contains antibiotics provides little or no nutritional value.</t>
  </si>
  <si>
    <t>WFD1159</t>
  </si>
  <si>
    <t>Lecture outlines are available on the college internal website.</t>
  </si>
  <si>
    <t>WFD1163</t>
  </si>
  <si>
    <t>Distance learning allows you to develop a career around your commitments.</t>
  </si>
  <si>
    <t>WFD1185</t>
  </si>
  <si>
    <t>Classical mechanics is sometimes considered as a branch of applied mathematics.</t>
  </si>
  <si>
    <t>WFD1193</t>
  </si>
  <si>
    <t>A group meeting will be held tomorrow in the library conference room.</t>
  </si>
  <si>
    <t>WFD1195</t>
  </si>
  <si>
    <t>Economic development needs to be supported by the government.</t>
  </si>
  <si>
    <t>WFD1198</t>
  </si>
  <si>
    <t>The key difference between courses is the kind of assessment.</t>
  </si>
  <si>
    <t>WFD1207</t>
  </si>
  <si>
    <t>Please note that the seminar has now been canceled.</t>
  </si>
  <si>
    <t>WFD1208</t>
  </si>
  <si>
    <t>The celebrated theory is still the source of great controversy.</t>
  </si>
  <si>
    <t>WFD1225</t>
  </si>
  <si>
    <t>Education and training provide important skills for the labor force.</t>
  </si>
  <si>
    <t>WFD1228</t>
  </si>
  <si>
    <t>You will acquire many skills during the academic studies.</t>
  </si>
  <si>
    <t>WFD1237</t>
  </si>
  <si>
    <t>The urban geography degree includes the study of demography.</t>
  </si>
  <si>
    <t>WFD1285</t>
  </si>
  <si>
    <t>An introduction is an essential element of presentation.</t>
  </si>
  <si>
    <t>WFD1299</t>
  </si>
  <si>
    <t>They developed a unique approach to training their employees.</t>
  </si>
  <si>
    <t>WFD1315</t>
  </si>
  <si>
    <t>Organizational failure is considered from various perspectives in academic literature.</t>
  </si>
  <si>
    <t>WFD1328</t>
  </si>
  <si>
    <t>New media have transcended traditional national boundaries.</t>
  </si>
  <si>
    <t>WFD1339</t>
  </si>
  <si>
    <t>All of your assignments are due by tomorrow.</t>
  </si>
  <si>
    <t>WFD1340</t>
  </si>
  <si>
    <t>The academic strength of the early Roman Republic will be examined.</t>
  </si>
  <si>
    <t>WFD1344</t>
  </si>
  <si>
    <t>Those who are considering a career in marketing should attend the talk.</t>
  </si>
  <si>
    <t>WFD1401</t>
  </si>
  <si>
    <t>Building trust is not something that can be achieved overnight.</t>
  </si>
  <si>
    <t>WFD1407</t>
  </si>
  <si>
    <t>The other book isn't thorough, but it's more insightful.</t>
  </si>
  <si>
    <t>WFD1411</t>
  </si>
  <si>
    <t>The director of the gallery was grateful for the anonymous donation.</t>
  </si>
  <si>
    <t>WFD1433</t>
  </si>
  <si>
    <t>The dance department stages elaborated performances each semester.</t>
  </si>
  <si>
    <t>WFD1434</t>
  </si>
  <si>
    <t>The ability to work with fellow students cannot be stressed enough.</t>
  </si>
  <si>
    <t>WFD1446</t>
  </si>
  <si>
    <t>Despite their differences, all forms of life share certain characteristics.</t>
  </si>
  <si>
    <t>WFD1516</t>
  </si>
  <si>
    <t>Many diseases that were once serious have now been eradicated.</t>
  </si>
  <si>
    <t>WFD1522</t>
  </si>
  <si>
    <t>Make sure you choose a course that provides great career opportunities.</t>
  </si>
  <si>
    <t>WFD1535</t>
  </si>
  <si>
    <t>Many university lectures can now be viewed on the Internet.</t>
  </si>
  <si>
    <t>WFD1555</t>
  </si>
  <si>
    <t>Tutorials are scheduled in the final week of the term.</t>
  </si>
  <si>
    <t>WFD1591</t>
  </si>
  <si>
    <t>Strangely, people are simultaneously impressed by and skeptical about statistics.</t>
  </si>
  <si>
    <t>WFD1592</t>
  </si>
  <si>
    <t>Students must wear protective clothing that is provided in the medical laboratory.</t>
  </si>
  <si>
    <t>WFD1620</t>
  </si>
  <si>
    <t>All industries are a system of inputs, processes, outputs and feedback.</t>
  </si>
  <si>
    <t>WFD1621</t>
  </si>
  <si>
    <t>Our view is that educational reforms have been inadequately implemented.</t>
  </si>
  <si>
    <t>WFD1622</t>
  </si>
  <si>
    <t>Most scientists believe that climate change threatens the lives on earth.</t>
  </si>
  <si>
    <t>WFD1625</t>
  </si>
  <si>
    <t>The economic status of the early Roman Republic will be examined.</t>
  </si>
  <si>
    <t>WFD1626</t>
  </si>
  <si>
    <t>He landed a job in a very prestigious law firm.</t>
  </si>
  <si>
    <t>WFD1632</t>
  </si>
  <si>
    <t>Photography can be very useful to geographical research.</t>
  </si>
  <si>
    <t>WFD1644</t>
  </si>
  <si>
    <t>The college operates a system of continuous assessments.</t>
  </si>
  <si>
    <t>WFD1651</t>
  </si>
  <si>
    <t>A professor took one year off to work on her book.</t>
  </si>
  <si>
    <t>WFD1656</t>
  </si>
  <si>
    <t>A good academic paper should present a clear argument.</t>
  </si>
  <si>
    <t>WFD1657</t>
  </si>
  <si>
    <t>Studies showed there is a positive correlation between the two variables.</t>
  </si>
  <si>
    <t>WFD1662</t>
  </si>
  <si>
    <t>It may not be possible to solve the problem easily.</t>
  </si>
  <si>
    <t>WFD1670</t>
  </si>
  <si>
    <t>The department has a higher-than-normal proportion of postgraduate students.</t>
  </si>
  <si>
    <t>WFD1673</t>
  </si>
  <si>
    <t>A mixture is defined as a compound of chemically separate parts.</t>
  </si>
  <si>
    <t>WFD1679</t>
  </si>
  <si>
    <t>Salt is produced from seawater or extracted from the ground.</t>
  </si>
  <si>
    <t>WFD1680</t>
  </si>
  <si>
    <t>Farmers need to adapt to the changes in climate.</t>
  </si>
  <si>
    <t>WFD1681</t>
  </si>
  <si>
    <t>Currently the growth of the economy is unpredictable.</t>
  </si>
  <si>
    <t>WFD1682</t>
  </si>
  <si>
    <t>The application processes may take longer than expected.</t>
  </si>
  <si>
    <t>WFD1684</t>
  </si>
  <si>
    <t>Honey can be used as food and a health product.</t>
  </si>
  <si>
    <t>WFD1689</t>
  </si>
  <si>
    <t>While some people regard it as reforming zeal, others regard it as recklessness.</t>
  </si>
  <si>
    <t>WFD1692</t>
  </si>
  <si>
    <t>Your ideas are discussed and debated in seminars and tutorials.</t>
  </si>
  <si>
    <t>WFD1695</t>
  </si>
  <si>
    <t>Student representatives will be visiting the classes with voting forms.</t>
  </si>
  <si>
    <t>WFD1706</t>
  </si>
  <si>
    <t>Remember, the prestigious election of stewardship has strict eligibility criteria.</t>
  </si>
  <si>
    <t>WFD1708</t>
  </si>
  <si>
    <t>The lecture tomorrow will discuss the educational policy of the United States.</t>
  </si>
  <si>
    <t>WFD1709</t>
  </si>
  <si>
    <t>Request for late applications will not be accepted under any circumstances.</t>
  </si>
  <si>
    <t>WFD1710</t>
  </si>
  <si>
    <t>Optional tutorials are offered in the final week of the term.</t>
  </si>
  <si>
    <t>WFD1713</t>
  </si>
  <si>
    <t>The marketing budget has been doubled since the beginning of the year.</t>
  </si>
  <si>
    <t>WFD1722</t>
  </si>
  <si>
    <t>The commissioner will apportion the funds among all the authorities.</t>
  </si>
  <si>
    <t>WFD1725</t>
  </si>
  <si>
    <t>Population has a sharp rise in the recent twenty years.</t>
  </si>
  <si>
    <t>WFD1726</t>
  </si>
  <si>
    <t>The museum is closed on the third Monday of every month.</t>
  </si>
  <si>
    <t>WFD1728</t>
  </si>
  <si>
    <t>You must be able to work in a team.</t>
  </si>
  <si>
    <t>WFD1729</t>
  </si>
  <si>
    <t>Some people believe that education should be free to everyone.</t>
  </si>
  <si>
    <t>WFD1731</t>
  </si>
  <si>
    <t>Computers used to be larger than they are now.</t>
  </si>
  <si>
    <t>WFD1734</t>
  </si>
  <si>
    <t>Social psychology is concerned with the understanding of human behaviors.</t>
  </si>
  <si>
    <t>WFD1737</t>
  </si>
  <si>
    <t>It is important to plan your study time carefully.</t>
  </si>
  <si>
    <t>WFD1767</t>
  </si>
  <si>
    <t>Muscles bring parts of the body close together.</t>
  </si>
  <si>
    <t>WFD1782</t>
  </si>
  <si>
    <t>When the root system of a plant fails, foliage suffers.</t>
  </si>
  <si>
    <t>WFD1803</t>
  </si>
  <si>
    <t>The Industrial Revolution in Europe was driven by steam technology.</t>
  </si>
  <si>
    <t>WFD1877</t>
  </si>
  <si>
    <t>The educational level is found to be related to social and economic background.</t>
  </si>
  <si>
    <t>WFD1889</t>
  </si>
  <si>
    <t>Your tutor will show you how to prepare the essay.</t>
  </si>
  <si>
    <t>WFD1897</t>
  </si>
  <si>
    <t>Check the website if you are looking for discounted textbooks</t>
  </si>
  <si>
    <t>WFD1898</t>
  </si>
  <si>
    <t>Farming methods across the world have greatly developed recently</t>
  </si>
  <si>
    <t>WFD1899</t>
  </si>
  <si>
    <t>Football is played throughout all years at the university</t>
  </si>
  <si>
    <t>WFD1900</t>
  </si>
  <si>
    <t>Mathematics provides a foundation for understanding and analyzing data</t>
  </si>
  <si>
    <t>WFD1904</t>
  </si>
  <si>
    <t>Take the first step by applying for a university scholarship now</t>
  </si>
  <si>
    <t>WFD1908</t>
  </si>
  <si>
    <t>The office hours will change next term</t>
  </si>
  <si>
    <t>WFD1911</t>
  </si>
  <si>
    <t>The studies showed the Hong Kong people are the most active in Asia</t>
  </si>
  <si>
    <t>WFD1913</t>
  </si>
  <si>
    <t>There is probably life in the other planets in the universe</t>
  </si>
  <si>
    <t>WFD1914</t>
  </si>
  <si>
    <t>Undoubtedly, this theory has a number of limitations</t>
  </si>
  <si>
    <t>WFD1915</t>
  </si>
  <si>
    <t>Unemployment rate has fallen to its lowest level in years</t>
  </si>
  <si>
    <t>WFD1918</t>
  </si>
  <si>
    <t>We are looking for new ways to engage learners</t>
  </si>
  <si>
    <t>WFD1919</t>
  </si>
  <si>
    <t>We can’t consider any increase in our price at this stage</t>
  </si>
  <si>
    <t>WFD1920</t>
  </si>
  <si>
    <t>When attending a job interview, punctuality is the key</t>
  </si>
  <si>
    <t>WFD1922</t>
  </si>
  <si>
    <t>You can use your laptops in the lecture</t>
  </si>
  <si>
    <t>WFD1924</t>
  </si>
  <si>
    <t>There was a prize for the best student presentation</t>
  </si>
  <si>
    <t>WFD1926</t>
  </si>
  <si>
    <t>The teacher training course includes observing the classes</t>
  </si>
  <si>
    <t>WFD1930</t>
  </si>
  <si>
    <t>Some people argue that education is not that important</t>
  </si>
  <si>
    <t>WFD1932</t>
  </si>
  <si>
    <t>Several candidates would be qualified as the greatest scientists of all time</t>
  </si>
  <si>
    <t>WFD1940</t>
  </si>
  <si>
    <t>Mature students usually adapt to university life extremely well</t>
  </si>
  <si>
    <t>WFD1941</t>
  </si>
  <si>
    <t>Library plays an important role in students' lives</t>
  </si>
  <si>
    <t>WFD1944</t>
  </si>
  <si>
    <t>All of the assignments must be submitted in person to the faculty office</t>
  </si>
  <si>
    <t>WFD1945</t>
  </si>
  <si>
    <t>The science library is currently located on the ground floor of the library</t>
  </si>
  <si>
    <t>WFD1949</t>
  </si>
  <si>
    <t>Class participation is an important part of your final grade</t>
  </si>
  <si>
    <t>WFD1954</t>
  </si>
  <si>
    <t>Chemical reactions occur when substances combine or change</t>
  </si>
  <si>
    <t>WFD1955</t>
  </si>
  <si>
    <t>Course work gives students the chances to thoroughly explore the subject</t>
  </si>
  <si>
    <t>WFD1956</t>
  </si>
  <si>
    <t>It is quite clear that our facial expressions are different across the world</t>
  </si>
  <si>
    <t>WFD1963</t>
  </si>
  <si>
    <t>You can find the complaint form on the website</t>
  </si>
  <si>
    <t>WFD1966</t>
  </si>
  <si>
    <t>The course includes a combination of pure and applied mathematics</t>
  </si>
  <si>
    <t>WFD1967</t>
  </si>
  <si>
    <t>Sugar is a compound including carbon, oxygen, and hydrogen atoms</t>
  </si>
  <si>
    <t>WFD1970</t>
  </si>
  <si>
    <t>Marine environments have been destroyed through pollution and unsustainable development</t>
  </si>
  <si>
    <t>WFD1973</t>
  </si>
  <si>
    <t>All experimental procedures are outlined in the laboratory manual</t>
  </si>
  <si>
    <t>WFD1986</t>
  </si>
  <si>
    <t>Students are advised that the lecture today has been canceled</t>
  </si>
  <si>
    <t>WFD1988</t>
  </si>
  <si>
    <t>One of the election promises is to decrease income taxes</t>
  </si>
  <si>
    <t>WFD1990</t>
  </si>
  <si>
    <t>The elective course introduces engineering students to construction practices and concepts</t>
  </si>
  <si>
    <t>WFD1992</t>
  </si>
  <si>
    <t>There is a great deal of debate on that topic</t>
  </si>
  <si>
    <t>WFD2004</t>
  </si>
  <si>
    <t>Plants are the living things that can grow on land or in water</t>
  </si>
  <si>
    <t>WFD2007</t>
  </si>
  <si>
    <t>Rising sea temperatures are a sign of climate change</t>
  </si>
  <si>
    <t>WFD2013</t>
  </si>
  <si>
    <t>The cafeteria features soup, salads, sandwiches, chicken and fish</t>
  </si>
  <si>
    <t>WFD2018</t>
  </si>
  <si>
    <t>The printers automatically print on both sides of each page</t>
  </si>
  <si>
    <t>WFD2028</t>
  </si>
  <si>
    <t>Certain scientific principles must be learned verbally or by logical deduction</t>
  </si>
  <si>
    <t>WFD2030</t>
  </si>
  <si>
    <t>Collaboration between departments is a feature of successful companies</t>
  </si>
  <si>
    <t>WFD2042</t>
  </si>
  <si>
    <t>You need to make sure that all your essays are handed in on time</t>
  </si>
  <si>
    <t>WFD2045</t>
  </si>
  <si>
    <t>More research is needed before any definitive conclusion can be drawn</t>
  </si>
  <si>
    <t>WFD2052</t>
  </si>
  <si>
    <t>Before attending classes, you must register online or by post</t>
  </si>
  <si>
    <t>WFD2053</t>
  </si>
  <si>
    <t>Designers need to keep up with the social trends</t>
  </si>
  <si>
    <t>WFD2058</t>
  </si>
  <si>
    <t>The rise in sea level indicates climate change</t>
  </si>
  <si>
    <t>WFD2061</t>
  </si>
  <si>
    <t>We encourage students to complete their applications before the deadline</t>
  </si>
  <si>
    <t>WFD2183</t>
  </si>
  <si>
    <t>The university auditorium is around the corner</t>
  </si>
  <si>
    <t>WFD2185</t>
  </si>
  <si>
    <t>A university degree is required for entry into various professions.</t>
  </si>
  <si>
    <t>WFD2187</t>
  </si>
  <si>
    <t>Students are encouraged to monitor their studies by themselves</t>
  </si>
  <si>
    <t>WFD2188</t>
  </si>
  <si>
    <t>You can find the complex form on the website.</t>
  </si>
  <si>
    <t>WFD2190</t>
  </si>
  <si>
    <t>Universities need to secure research funds for projects.</t>
  </si>
  <si>
    <t>WFD2191</t>
  </si>
  <si>
    <t>The professor will have a lecture in the class.</t>
  </si>
  <si>
    <t>WFD2192</t>
  </si>
  <si>
    <t>You need to put those books on the table over there</t>
  </si>
  <si>
    <t>WFD2193</t>
  </si>
  <si>
    <t>Polar regions' islands are ideal for astrophysicists and meteorologists to carry out field experiments.</t>
  </si>
  <si>
    <t>WFD2194</t>
  </si>
  <si>
    <t>The area has a vast range of underwater habitats and species</t>
  </si>
  <si>
    <t>WFD2195</t>
  </si>
  <si>
    <t>Her design incorporates the best aspects of architecture.</t>
  </si>
  <si>
    <t>WFD2196</t>
  </si>
  <si>
    <t>The investment will be dedicated to improving transport infrastructure.</t>
  </si>
  <si>
    <t>WFD2197</t>
  </si>
  <si>
    <t>Protective goggles must be worn in all the university laboratories</t>
  </si>
  <si>
    <t>WFD2198</t>
  </si>
  <si>
    <t>Tact is the knack of making a point without making an enemy.</t>
  </si>
  <si>
    <t>WFD2199</t>
  </si>
  <si>
    <t>It is quite clear that facial expressions appear to be quite similar across different cultures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</si>
</sst>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Font="1" applyAlignment="1">
      <alignment horizont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abSelected="1" topLeftCell="A94" workbookViewId="0">
      <selection activeCell="C189" sqref="C189"/>
    </sheetView>
  </sheetViews>
  <sheetFormatPr defaultColWidth="14.4272727272727" defaultRowHeight="15" customHeight="1" outlineLevelCol="3"/>
  <cols>
    <col min="1" max="2" width="25" customWidth="1"/>
    <col min="3" max="3" width="87.1363636363636" customWidth="1"/>
    <col min="4" max="4" width="98.7090909090909" customWidth="1"/>
    <col min="5" max="27" width="8.7090909090909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1</v>
      </c>
      <c r="B2" s="5" t="s">
        <v>4</v>
      </c>
      <c r="C2" s="5" t="s">
        <v>5</v>
      </c>
      <c r="D2" s="5" t="str">
        <f>IFERROR(__xludf.DUMMYFUNCTION("GOOGLETRANSLATE(C2, ""en"", ""vi"")"),"Thư viện sẽ đóng cửa để đào tạo nhân viên vào sáng mai.")</f>
        <v>Thư viện sẽ đóng cửa để đào tạo nhân viên vào sáng mai.</v>
      </c>
    </row>
    <row r="3" spans="1:4">
      <c r="A3" s="4">
        <v>2</v>
      </c>
      <c r="B3" s="5" t="s">
        <v>6</v>
      </c>
      <c r="C3" s="5" t="s">
        <v>7</v>
      </c>
      <c r="D3" s="5" t="str">
        <f>IFERROR(__xludf.DUMMYFUNCTION("GOOGLETRANSLATE(C3, ""en"", ""vi"")"),"Các khóa học phổ biến nhất vẫn còn một vài chỗ trống.")</f>
        <v>Các khóa học phổ biến nhất vẫn còn một vài chỗ trống.</v>
      </c>
    </row>
    <row r="4" spans="1:4">
      <c r="A4" s="4">
        <v>3</v>
      </c>
      <c r="B4" s="5" t="s">
        <v>8</v>
      </c>
      <c r="C4" s="5" t="s">
        <v>9</v>
      </c>
      <c r="D4" s="5" t="str">
        <f>IFERROR(__xludf.DUMMYFUNCTION("GOOGLETRANSLATE(C4, ""en"", ""vi"")"),"Các bài luận và bài tập được phân bổ rải rác trong suốt năm học.")</f>
        <v>Các bài luận và bài tập được phân bổ rải rác trong suốt năm học.</v>
      </c>
    </row>
    <row r="5" spans="1:4">
      <c r="A5" s="4">
        <v>4</v>
      </c>
      <c r="B5" s="5" t="s">
        <v>10</v>
      </c>
      <c r="C5" s="5" t="s">
        <v>11</v>
      </c>
      <c r="D5" s="5" t="str">
        <f>IFERROR(__xludf.DUMMYFUNCTION("GOOGLETRANSLATE(C5, ""en"", ""vi"")"),"Có một bài tập kế toán dành cho sinh viên ngành tài chính.")</f>
        <v>Có một bài tập kế toán dành cho sinh viên ngành tài chính.</v>
      </c>
    </row>
    <row r="6" spans="1:4">
      <c r="A6" s="4">
        <v>5</v>
      </c>
      <c r="B6" s="5" t="s">
        <v>12</v>
      </c>
      <c r="C6" s="5" t="s">
        <v>13</v>
      </c>
      <c r="D6" s="5" t="str">
        <f>IFERROR(__xludf.DUMMYFUNCTION("GOOGLETRANSLATE(C6, ""en"", ""vi"")"),"Các chuyên gia hiện nay có thể dự báo thời tiết trong thời gian dài hơn nhiều.")</f>
        <v>Các chuyên gia hiện nay có thể dự báo thời tiết trong thời gian dài hơn nhiều.</v>
      </c>
    </row>
    <row r="7" spans="1:4">
      <c r="A7" s="4">
        <v>6</v>
      </c>
      <c r="B7" s="5" t="s">
        <v>14</v>
      </c>
      <c r="C7" s="5" t="s">
        <v>15</v>
      </c>
      <c r="D7" s="5" t="str">
        <f>IFERROR(__xludf.DUMMYFUNCTION("GOOGLETRANSLATE(C7, ""en"", ""vi"")"),"Triết học sử dụng logic và lý lẽ để phân tích kinh nghiệm của con người.")</f>
        <v>Triết học sử dụng logic và lý lẽ để phân tích kinh nghiệm của con người.</v>
      </c>
    </row>
    <row r="8" spans="1:4">
      <c r="A8" s="4">
        <v>7</v>
      </c>
      <c r="B8" s="5" t="s">
        <v>16</v>
      </c>
      <c r="C8" s="5" t="s">
        <v>17</v>
      </c>
      <c r="D8" s="5" t="str">
        <f>IFERROR(__xludf.DUMMYFUNCTION("GOOGLETRANSLATE(C8, ""en"", ""vi"")"),"Việc tham gia vào các hoạt động trên lớp là trọng tâm của khóa học.")</f>
        <v>Việc tham gia vào các hoạt động trên lớp là trọng tâm của khóa học.</v>
      </c>
    </row>
    <row r="9" spans="1:4">
      <c r="A9" s="4">
        <v>8</v>
      </c>
      <c r="B9" s="5" t="s">
        <v>18</v>
      </c>
      <c r="C9" s="5" t="s">
        <v>19</v>
      </c>
      <c r="D9" s="5" t="str">
        <f>IFERROR(__xludf.DUMMYFUNCTION("GOOGLETRANSLATE(C9, ""en"", ""vi"")"),"Địa lý thường được chia thành hai nhánh chính: địa lý nhân văn và địa lý tự nhiên.")</f>
        <v>Địa lý thường được chia thành hai nhánh chính: địa lý nhân văn và địa lý tự nhiên.</v>
      </c>
    </row>
    <row r="10" spans="1:4">
      <c r="A10" s="4">
        <v>9</v>
      </c>
      <c r="B10" s="5" t="s">
        <v>20</v>
      </c>
      <c r="C10" s="5" t="s">
        <v>21</v>
      </c>
      <c r="D10" s="5" t="str">
        <f>IFERROR(__xludf.DUMMYFUNCTION("GOOGLETRANSLATE(C10, ""en"", ""vi"")"),"Chúng ta có một bài giảng vào sáng thứ Năm.")</f>
        <v>Chúng ta có một bài giảng vào sáng thứ Năm.</v>
      </c>
    </row>
    <row r="11" spans="1:4">
      <c r="A11" s="4">
        <v>10</v>
      </c>
      <c r="B11" s="5" t="s">
        <v>22</v>
      </c>
      <c r="C11" s="5" t="s">
        <v>23</v>
      </c>
      <c r="D11" s="5" t="str">
        <f>IFERROR(__xludf.DUMMYFUNCTION("GOOGLETRANSLATE(C11, ""en"", ""vi"")"),"Khán giả hồi hộp chờ đợi buổi hòa nhạc.")</f>
        <v>Khán giả hồi hộp chờ đợi buổi hòa nhạc.</v>
      </c>
    </row>
    <row r="12" spans="1:4">
      <c r="A12" s="4">
        <v>11</v>
      </c>
      <c r="B12" s="5" t="s">
        <v>24</v>
      </c>
      <c r="C12" s="5" t="s">
        <v>25</v>
      </c>
      <c r="D12" s="5" t="str">
        <f>IFERROR(__xludf.DUMMYFUNCTION("GOOGLETRANSLATE(C12, ""en"", ""vi"")"),"Bãi đậu xe phía bắc khuôn viên trường có thể đóng cửa vào Chủ nhật.")</f>
        <v>Bãi đậu xe phía bắc khuôn viên trường có thể đóng cửa vào Chủ nhật.</v>
      </c>
    </row>
    <row r="13" spans="1:4">
      <c r="A13" s="4">
        <v>12</v>
      </c>
      <c r="B13" s="5" t="s">
        <v>26</v>
      </c>
      <c r="C13" s="5" t="s">
        <v>27</v>
      </c>
      <c r="D13" s="5" t="str">
        <f>IFERROR(__xludf.DUMMYFUNCTION("GOOGLETRANSLATE(C13, ""en"", ""vi"")"),"Trường đại học đã đầu tư vào các công nghệ mới được thiết kế để hỗ trợ việc học tập.")</f>
        <v>Trường đại học đã đầu tư vào các công nghệ mới được thiết kế để hỗ trợ việc học tập.</v>
      </c>
    </row>
    <row r="14" spans="1:4">
      <c r="A14" s="4">
        <v>13</v>
      </c>
      <c r="B14" s="5" t="s">
        <v>28</v>
      </c>
      <c r="C14" s="5" t="s">
        <v>29</v>
      </c>
      <c r="D14" s="5" t="str">
        <f>IFERROR(__xludf.DUMMYFUNCTION("GOOGLETRANSLATE(C14, ""en"", ""vi"")"),"Khoa học máy tính đã trở thành một ngành học phổ biến ở bậc đại học.")</f>
        <v>Khoa học máy tính đã trở thành một ngành học phổ biến ở bậc đại học.</v>
      </c>
    </row>
    <row r="15" spans="1:4">
      <c r="A15" s="4">
        <v>14</v>
      </c>
      <c r="B15" s="5" t="s">
        <v>30</v>
      </c>
      <c r="C15" s="5" t="s">
        <v>31</v>
      </c>
      <c r="D15" s="5" t="str">
        <f>IFERROR(__xludf.DUMMYFUNCTION("GOOGLETRANSLATE(C15, ""en"", ""vi"")"),"Luyện tập hàng ngày có thể giúp xây dựng sự tự tin và cải thiện kỹ năng.")</f>
        <v>Luyện tập hàng ngày có thể giúp xây dựng sự tự tin và cải thiện kỹ năng.</v>
      </c>
    </row>
    <row r="16" spans="1:4">
      <c r="A16" s="4">
        <v>15</v>
      </c>
      <c r="B16" s="5" t="s">
        <v>32</v>
      </c>
      <c r="C16" s="5" t="s">
        <v>33</v>
      </c>
      <c r="D16" s="5" t="str">
        <f>IFERROR(__xludf.DUMMYFUNCTION("GOOGLETRANSLATE(C16, ""en"", ""vi"")"),"Báo cáo thường niên có thể cung cấp thông tin quan trọng về tình hình tài chính của công ty.")</f>
        <v>Báo cáo thường niên có thể cung cấp thông tin quan trọng về tình hình tài chính của công ty.</v>
      </c>
    </row>
    <row r="17" spans="1:4">
      <c r="A17" s="4">
        <v>16</v>
      </c>
      <c r="B17" s="5" t="s">
        <v>34</v>
      </c>
      <c r="C17" s="5" t="s">
        <v>35</v>
      </c>
      <c r="D17" s="5" t="str">
        <f>IFERROR(__xludf.DUMMYFUNCTION("GOOGLETRANSLATE(C17, ""en"", ""vi"")"),"Các ngân hàng tính lãi suất đối với số tiền họ cho khách hàng vay.")</f>
        <v>Các ngân hàng tính lãi suất đối với số tiền họ cho khách hàng vay.</v>
      </c>
    </row>
    <row r="18" spans="1:4">
      <c r="A18" s="4">
        <v>17</v>
      </c>
      <c r="B18" s="5" t="s">
        <v>36</v>
      </c>
      <c r="C18" s="5" t="s">
        <v>37</v>
      </c>
      <c r="D18" s="5" t="str">
        <f>IFERROR(__xludf.DUMMYFUNCTION("GOOGLETRANSLATE(C18, ""en"", ""vi"")"),"Máy ảnh kỹ thuật số có một số ưu điểm so với máy ảnh phim truyền thống.")</f>
        <v>Máy ảnh kỹ thuật số có một số ưu điểm so với máy ảnh phim truyền thống.</v>
      </c>
    </row>
    <row r="19" spans="1:4">
      <c r="A19" s="4">
        <v>18</v>
      </c>
      <c r="B19" s="5" t="s">
        <v>38</v>
      </c>
      <c r="C19" s="5" t="s">
        <v>39</v>
      </c>
      <c r="D19" s="5" t="str">
        <f>IFERROR(__xludf.DUMMYFUNCTION("GOOGLETRANSLATE(C19, ""en"", ""vi"")"),"Các thư viện học thuật trên toàn thế giới đang dần tích hợp mạng xã hội.")</f>
        <v>Các thư viện học thuật trên toàn thế giới đang dần tích hợp mạng xã hội.</v>
      </c>
    </row>
    <row r="20" spans="1:4">
      <c r="A20" s="4">
        <v>19</v>
      </c>
      <c r="B20" s="5" t="s">
        <v>40</v>
      </c>
      <c r="C20" s="5" t="s">
        <v>41</v>
      </c>
      <c r="D20" s="5" t="str">
        <f>IFERROR(__xludf.DUMMYFUNCTION("GOOGLETRANSLATE(C20, ""en"", ""vi"")"),"Ban đầu, người tham gia sẽ lựa chọn từ một loạt các môn học cơ bản.")</f>
        <v>Ban đầu, người tham gia sẽ lựa chọn từ một loạt các môn học cơ bản.</v>
      </c>
    </row>
    <row r="21" ht="15.75" customHeight="1" spans="1:4">
      <c r="A21" s="4">
        <v>20</v>
      </c>
      <c r="B21" s="5" t="s">
        <v>42</v>
      </c>
      <c r="C21" s="5" t="s">
        <v>43</v>
      </c>
      <c r="D21" s="5" t="str">
        <f>IFERROR(__xludf.DUMMYFUNCTION("GOOGLETRANSLATE(C21, ""en"", ""vi"")"),"Ngoài các chính trị gia, các nghệ sĩ cũng đóng vai trò riêng của mình như những nhà phê bình văn hóa.")</f>
        <v>Ngoài các chính trị gia, các nghệ sĩ cũng đóng vai trò riêng của mình như những nhà phê bình văn hóa.</v>
      </c>
    </row>
    <row r="22" ht="15.75" customHeight="1" spans="1:4">
      <c r="A22" s="4">
        <v>21</v>
      </c>
      <c r="B22" s="5" t="s">
        <v>44</v>
      </c>
      <c r="C22" s="5" t="s">
        <v>45</v>
      </c>
      <c r="D22" s="5" t="str">
        <f>IFERROR(__xludf.DUMMYFUNCTION("GOOGLETRANSLATE(C22, ""en"", ""vi"")"),"Thực phẩm chứa nhiều calo lại cung cấp rất ít hoặc không có giá trị dinh dưỡng.")</f>
        <v>Thực phẩm chứa nhiều calo lại cung cấp rất ít hoặc không có giá trị dinh dưỡng.</v>
      </c>
    </row>
    <row r="23" ht="15.75" customHeight="1" spans="1:4">
      <c r="A23" s="4">
        <v>22</v>
      </c>
      <c r="B23" s="5" t="s">
        <v>46</v>
      </c>
      <c r="C23" s="5" t="s">
        <v>47</v>
      </c>
      <c r="D23" s="5" t="str">
        <f>IFERROR(__xludf.DUMMYFUNCTION("GOOGLETRANSLATE(C23, ""en"", ""vi"")"),"Vật lý là môn học then chốt để hiểu về thế giới và vũ trụ.")</f>
        <v>Vật lý là môn học then chốt để hiểu về thế giới và vũ trụ.</v>
      </c>
    </row>
    <row r="24" ht="15.75" customHeight="1" spans="1:4">
      <c r="A24" s="4">
        <v>23</v>
      </c>
      <c r="B24" s="5" t="s">
        <v>48</v>
      </c>
      <c r="C24" s="5" t="s">
        <v>49</v>
      </c>
      <c r="D24" s="5" t="str">
        <f>IFERROR(__xludf.DUMMYFUNCTION("GOOGLETRANSLATE(C24, ""en"", ""vi"")"),"Sinh viên có thể lựa chọn sống trong ký túc xá của trường hoặc ở trong các căn hộ.")</f>
        <v>Sinh viên có thể lựa chọn sống trong ký túc xá của trường hoặc ở trong các căn hộ.</v>
      </c>
    </row>
    <row r="25" ht="15.75" customHeight="1" spans="1:4">
      <c r="A25" s="4">
        <v>24</v>
      </c>
      <c r="B25" s="5" t="s">
        <v>50</v>
      </c>
      <c r="C25" s="5" t="s">
        <v>51</v>
      </c>
      <c r="D25" s="5" t="str">
        <f>IFERROR(__xludf.DUMMYFUNCTION("GOOGLETRANSLATE(C25, ""en"", ""vi"")"),"Các khóa học của chúng tôi giúp nâng cao kỹ năng tư duy phản biện và tự học.")</f>
        <v>Các khóa học của chúng tôi giúp nâng cao kỹ năng tư duy phản biện và tự học.</v>
      </c>
    </row>
    <row r="26" ht="15.75" customHeight="1" spans="1:4">
      <c r="A26" s="4">
        <v>25</v>
      </c>
      <c r="B26" s="5" t="s">
        <v>52</v>
      </c>
      <c r="C26" s="5" t="s">
        <v>53</v>
      </c>
      <c r="D26" s="5" t="str">
        <f>IFERROR(__xludf.DUMMYFUNCTION("GOOGLETRANSLATE(C26, ""en"", ""vi"")"),"Nhà ở giá cả phải chăng là một vấn đề quan trọng đối với tất cả các thành viên trong xã hội.")</f>
        <v>Nhà ở giá cả phải chăng là một vấn đề quan trọng đối với tất cả các thành viên trong xã hội.</v>
      </c>
    </row>
    <row r="27" ht="15.75" customHeight="1" spans="1:4">
      <c r="A27" s="4">
        <v>26</v>
      </c>
      <c r="B27" s="5" t="s">
        <v>54</v>
      </c>
      <c r="C27" s="5" t="s">
        <v>55</v>
      </c>
      <c r="D27" s="5" t="str">
        <f>IFERROR(__xludf.DUMMYFUNCTION("GOOGLETRANSLATE(C27, ""en"", ""vi"")"),"Mạng xã hội bị chỉ trích vì gây ra chứng nghiện Internet.")</f>
        <v>Mạng xã hội bị chỉ trích vì gây ra chứng nghiện Internet.</v>
      </c>
    </row>
    <row r="28" ht="15.75" customHeight="1" spans="1:4">
      <c r="A28" s="4">
        <v>27</v>
      </c>
      <c r="B28" s="5" t="s">
        <v>56</v>
      </c>
      <c r="C28" s="5" t="s">
        <v>57</v>
      </c>
      <c r="D28" s="5" t="str">
        <f>IFERROR(__xludf.DUMMYFUNCTION("GOOGLETRANSLATE(C28, ""en"", ""vi"")"),"Trên khuôn viên trường có một hiệu thuốc, gần nhà sách.")</f>
        <v>Trên khuôn viên trường có một hiệu thuốc, gần nhà sách.</v>
      </c>
    </row>
    <row r="29" ht="15.75" customHeight="1" spans="1:4">
      <c r="A29" s="4">
        <v>28</v>
      </c>
      <c r="B29" s="5" t="s">
        <v>58</v>
      </c>
      <c r="C29" s="5" t="s">
        <v>59</v>
      </c>
      <c r="D29" s="5" t="str">
        <f>IFERROR(__xludf.DUMMYFUNCTION("GOOGLETRANSLATE(C29, ""en"", ""vi"")"),"Một công trình kiến ​​trúc tốt cần phải hữu dụng, bền vững và đẹp mắt.")</f>
        <v>Một công trình kiến ​​trúc tốt cần phải hữu dụng, bền vững và đẹp mắt.</v>
      </c>
    </row>
    <row r="30" ht="15.75" customHeight="1" spans="1:4">
      <c r="A30" s="4">
        <v>29</v>
      </c>
      <c r="B30" s="5" t="s">
        <v>60</v>
      </c>
      <c r="C30" s="5" t="s">
        <v>61</v>
      </c>
      <c r="D30" s="5" t="str">
        <f>IFERROR(__xludf.DUMMYFUNCTION("GOOGLETRANSLATE(C30, ""en"", ""vi"")"),"Các vật liệu và kỹ thuật mới đang làm thay đổi phong cách kiến ​​trúc hiện đại.")</f>
        <v>Các vật liệu và kỹ thuật mới đang làm thay đổi phong cách kiến ​​trúc hiện đại.</v>
      </c>
    </row>
    <row r="31" ht="15.75" customHeight="1" spans="1:4">
      <c r="A31" s="4">
        <v>30</v>
      </c>
      <c r="B31" s="5" t="s">
        <v>62</v>
      </c>
      <c r="C31" s="5" t="s">
        <v>63</v>
      </c>
      <c r="D31" s="5" t="str">
        <f>IFERROR(__xludf.DUMMYFUNCTION("GOOGLETRANSLATE(C31, ""en"", ""vi"")"),"Kết quả thống kê nên được diễn đạt theo nhiều cách khác nhau tùy thuộc vào hoàn cảnh.")</f>
        <v>Kết quả thống kê nên được diễn đạt theo nhiều cách khác nhau tùy thuộc vào hoàn cảnh.</v>
      </c>
    </row>
    <row r="32" ht="15.75" customHeight="1" spans="1:4">
      <c r="A32" s="4">
        <v>31</v>
      </c>
      <c r="B32" s="5" t="s">
        <v>64</v>
      </c>
      <c r="C32" s="5" t="s">
        <v>65</v>
      </c>
      <c r="D32" s="5" t="str">
        <f>IFERROR(__xludf.DUMMYFUNCTION("GOOGLETRANSLATE(C32, ""en"", ""vi"")"),"Sinh viên sẽ tập trung vào việc đưa tin về những thay đổi trong thế giới truyền thông.")</f>
        <v>Sinh viên sẽ tập trung vào việc đưa tin về những thay đổi trong thế giới truyền thông.</v>
      </c>
    </row>
    <row r="33" ht="15.75" customHeight="1" spans="1:4">
      <c r="A33" s="4">
        <v>32</v>
      </c>
      <c r="B33" s="5" t="s">
        <v>66</v>
      </c>
      <c r="C33" s="5" t="s">
        <v>67</v>
      </c>
      <c r="D33" s="5" t="str">
        <f>IFERROR(__xludf.DUMMYFUNCTION("GOOGLETRANSLATE(C33, ""en"", ""vi"")"),"Con người cạnh tranh với các sinh vật khác để giành giật tài nguyên và không gian sống.")</f>
        <v>Con người cạnh tranh với các sinh vật khác để giành giật tài nguyên và không gian sống.</v>
      </c>
    </row>
    <row r="34" ht="15.75" customHeight="1" spans="1:4">
      <c r="A34" s="4">
        <v>33</v>
      </c>
      <c r="B34" s="5" t="s">
        <v>68</v>
      </c>
      <c r="C34" s="5" t="s">
        <v>69</v>
      </c>
      <c r="D34" s="5" t="str">
        <f>IFERROR(__xludf.DUMMYFUNCTION("GOOGLETRANSLATE(C34, ""en"", ""vi"")"),"Giải quyết vấn đề dân số ngày càng tăng là một thách thức đối với nhiều chính phủ.")</f>
        <v>Giải quyết vấn đề dân số ngày càng tăng là một thách thức đối với nhiều chính phủ.</v>
      </c>
    </row>
    <row r="35" ht="15.75" customHeight="1" spans="1:4">
      <c r="A35" s="4">
        <v>34</v>
      </c>
      <c r="B35" s="5" t="s">
        <v>70</v>
      </c>
      <c r="C35" s="5" t="s">
        <v>71</v>
      </c>
      <c r="D35" s="5" t="str">
        <f>IFERROR(__xludf.DUMMYFUNCTION("GOOGLETRANSLATE(C35, ""en"", ""vi"")"),"Tòa nhà hóa học nằm gần lối vào khuôn viên trường.")</f>
        <v>Tòa nhà hóa học nằm gần lối vào khuôn viên trường.</v>
      </c>
    </row>
    <row r="36" ht="15.75" customHeight="1" spans="1:4">
      <c r="A36" s="4">
        <v>35</v>
      </c>
      <c r="B36" s="5" t="s">
        <v>72</v>
      </c>
      <c r="C36" s="5" t="s">
        <v>73</v>
      </c>
      <c r="D36" s="5" t="str">
        <f>IFERROR(__xludf.DUMMYFUNCTION("GOOGLETRANSLATE(C36, ""en"", ""vi"")"),"Khoa học thần kinh là một tập hợp các phần hoàn toàn riêng biệt.")</f>
        <v>Khoa học thần kinh là một tập hợp các phần hoàn toàn riêng biệt.</v>
      </c>
    </row>
    <row r="37" ht="15.75" customHeight="1" spans="1:4">
      <c r="A37" s="4">
        <v>36</v>
      </c>
      <c r="B37" s="5" t="s">
        <v>74</v>
      </c>
      <c r="C37" s="5" t="s">
        <v>75</v>
      </c>
      <c r="D37" s="5" t="str">
        <f>IFERROR(__xludf.DUMMYFUNCTION("GOOGLETRANSLATE(C37, ""en"", ""vi"")"),"Cửa hàng dành cho sinh viên bán nhiều loại văn phòng phẩm.")</f>
        <v>Cửa hàng dành cho sinh viên bán nhiều loại văn phòng phẩm.</v>
      </c>
    </row>
    <row r="38" ht="15.75" customHeight="1" spans="1:4">
      <c r="A38" s="4">
        <v>37</v>
      </c>
      <c r="B38" s="5" t="s">
        <v>76</v>
      </c>
      <c r="C38" s="5" t="s">
        <v>77</v>
      </c>
      <c r="D38" s="5" t="str">
        <f>IFERROR(__xludf.DUMMYFUNCTION("GOOGLETRANSLATE(C38, ""en"", ""vi"")"),"Giáo sư của chúng tôi đang chủ trì hội nghị phát triển kinh doanh.")</f>
        <v>Giáo sư của chúng tôi đang chủ trì hội nghị phát triển kinh doanh.</v>
      </c>
    </row>
    <row r="39" ht="15.75" customHeight="1" spans="1:4">
      <c r="A39" s="4">
        <v>38</v>
      </c>
      <c r="B39" s="5" t="s">
        <v>78</v>
      </c>
      <c r="C39" s="5" t="s">
        <v>79</v>
      </c>
      <c r="D39" s="5" t="str">
        <f>IFERROR(__xludf.DUMMYFUNCTION("GOOGLETRANSLATE(C39, ""en"", ""vi"")"),"Nhiệt độ tăng cao đang làm thay đổi quần thể động vật hoang dã.")</f>
        <v>Nhiệt độ tăng cao đang làm thay đổi quần thể động vật hoang dã.</v>
      </c>
    </row>
    <row r="40" ht="15.75" customHeight="1" spans="1:4">
      <c r="A40" s="4">
        <v>39</v>
      </c>
      <c r="B40" s="5" t="s">
        <v>80</v>
      </c>
      <c r="C40" s="5" t="s">
        <v>81</v>
      </c>
      <c r="D40" s="5" t="str">
        <f>IFERROR(__xludf.DUMMYFUNCTION("GOOGLETRANSLATE(C40, ""en"", ""vi"")"),"Lượng dữ liệu khổng lồ được tích lũy đã được chuyển đổi thành một luận điểm dễ truyền đạt.")</f>
        <v>Lượng dữ liệu khổng lồ được tích lũy đã được chuyển đổi thành một luận điểm dễ truyền đạt.</v>
      </c>
    </row>
    <row r="41" ht="15.75" customHeight="1" spans="1:4">
      <c r="A41" s="4">
        <v>40</v>
      </c>
      <c r="B41" s="5" t="s">
        <v>82</v>
      </c>
      <c r="C41" s="5" t="s">
        <v>83</v>
      </c>
      <c r="D41" s="5" t="str">
        <f>IFERROR(__xludf.DUMMYFUNCTION("GOOGLETRANSLATE(C41, ""en"", ""vi"")"),"Khó khăn lớn nhất trong giáo dục sau đại học là vấn đề tài chính.")</f>
        <v>Khó khăn lớn nhất trong giáo dục sau đại học là vấn đề tài chính.</v>
      </c>
    </row>
    <row r="42" ht="15.75" customHeight="1" spans="1:4">
      <c r="A42" s="4">
        <v>41</v>
      </c>
      <c r="B42" s="5" t="s">
        <v>84</v>
      </c>
      <c r="C42" s="5" t="s">
        <v>85</v>
      </c>
      <c r="D42" s="5" t="str">
        <f>IFERROR(__xludf.DUMMYFUNCTION("GOOGLETRANSLATE(C42, ""en"", ""vi"")"),"Giao thông là nguyên nhân chính gây ô nhiễm không khí ở nhiều thành phố.")</f>
        <v>Giao thông là nguyên nhân chính gây ô nhiễm không khí ở nhiều thành phố.</v>
      </c>
    </row>
    <row r="43" ht="15.75" customHeight="1" spans="1:4">
      <c r="A43" s="4">
        <v>42</v>
      </c>
      <c r="B43" s="5" t="s">
        <v>86</v>
      </c>
      <c r="C43" s="5" t="s">
        <v>87</v>
      </c>
      <c r="D43" s="5" t="str">
        <f>IFERROR(__xludf.DUMMYFUNCTION("GOOGLETRANSLATE(C43, ""en"", ""vi"")"),"Một nhà quản lý kinh doanh hiệu quả luôn sẵn sàng đón nhận những ý tưởng mới.")</f>
        <v>Một nhà quản lý kinh doanh hiệu quả luôn sẵn sàng đón nhận những ý tưởng mới.</v>
      </c>
    </row>
    <row r="44" ht="15.75" customHeight="1" spans="1:4">
      <c r="A44" s="4">
        <v>43</v>
      </c>
      <c r="B44" s="5" t="s">
        <v>88</v>
      </c>
      <c r="C44" s="5" t="s">
        <v>89</v>
      </c>
      <c r="D44" s="5" t="str">
        <f>IFERROR(__xludf.DUMMYFUNCTION("GOOGLETRANSLATE(C44, ""en"", ""vi"")"),"Các nghệ sĩ cần làm cho tác phẩm của mình vừa độc đáo vừa dễ tiếp cận.")</f>
        <v>Các nghệ sĩ cần làm cho tác phẩm của mình vừa độc đáo vừa dễ tiếp cận.</v>
      </c>
    </row>
    <row r="45" ht="15.75" customHeight="1" spans="1:4">
      <c r="A45" s="4">
        <v>44</v>
      </c>
      <c r="B45" s="5" t="s">
        <v>90</v>
      </c>
      <c r="C45" s="5" t="s">
        <v>91</v>
      </c>
      <c r="D45" s="5" t="str">
        <f>IFERROR(__xludf.DUMMYFUNCTION("GOOGLETRANSLATE(C45, ""en"", ""vi"")"),"Một tuyển tập bài viết mới vừa được xuất bản.")</f>
        <v>Một tuyển tập bài viết mới vừa được xuất bản.</v>
      </c>
    </row>
    <row r="46" ht="15.75" customHeight="1" spans="1:4">
      <c r="A46" s="4">
        <v>45</v>
      </c>
      <c r="B46" s="5" t="s">
        <v>92</v>
      </c>
      <c r="C46" s="5" t="s">
        <v>93</v>
      </c>
      <c r="D46" s="5" t="str">
        <f>IFERROR(__xludf.DUMMYFUNCTION("GOOGLETRANSLATE(C46, ""en"", ""vi"")"),"Sinh viên được khuyến khích tự theo dõi việc điểm danh của mình.")</f>
        <v>Sinh viên được khuyến khích tự theo dõi việc điểm danh của mình.</v>
      </c>
    </row>
    <row r="47" ht="15.75" customHeight="1" spans="1:4">
      <c r="A47" s="4">
        <v>46</v>
      </c>
      <c r="B47" s="5" t="s">
        <v>94</v>
      </c>
      <c r="C47" s="5" t="s">
        <v>95</v>
      </c>
      <c r="D47" s="5" t="str">
        <f>IFERROR(__xludf.DUMMYFUNCTION("GOOGLETRANSLATE(C47, ""en"", ""vi"")"),"Đường sắt giúp cho việc đi lại đường dài trở nên khả thi đối với mọi người.")</f>
        <v>Đường sắt giúp cho việc đi lại đường dài trở nên khả thi đối với mọi người.</v>
      </c>
    </row>
    <row r="48" ht="15.75" customHeight="1" spans="1:4">
      <c r="A48" s="4">
        <v>47</v>
      </c>
      <c r="B48" s="5" t="s">
        <v>96</v>
      </c>
      <c r="C48" s="5" t="s">
        <v>97</v>
      </c>
      <c r="D48" s="5" t="str">
        <f>IFERROR(__xludf.DUMMYFUNCTION("GOOGLETRANSLATE(C48, ""en"", ""vi"")"),"Ô nhiễm không khí là một vấn đề nghiêm trọng trên toàn thế giới.")</f>
        <v>Ô nhiễm không khí là một vấn đề nghiêm trọng trên toàn thế giới.</v>
      </c>
    </row>
    <row r="49" ht="15.75" customHeight="1" spans="1:4">
      <c r="A49" s="4">
        <v>48</v>
      </c>
      <c r="B49" s="5" t="s">
        <v>98</v>
      </c>
      <c r="C49" s="5" t="s">
        <v>99</v>
      </c>
      <c r="D49" s="5" t="str">
        <f>IFERROR(__xludf.DUMMYFUNCTION("GOOGLETRANSLATE(C49, ""en"", ""vi"")"),"Phải luôn mặc đồ bảo hộ khi làm việc trong phòng thí nghiệm.")</f>
        <v>Phải luôn mặc đồ bảo hộ khi làm việc trong phòng thí nghiệm.</v>
      </c>
    </row>
    <row r="50" ht="15.75" customHeight="1" spans="1:4">
      <c r="A50" s="4">
        <v>49</v>
      </c>
      <c r="B50" s="5" t="s">
        <v>100</v>
      </c>
      <c r="C50" s="5" t="s">
        <v>101</v>
      </c>
      <c r="D50" s="5" t="str">
        <f>IFERROR(__xludf.DUMMYFUNCTION("GOOGLETRANSLATE(C50, ""en"", ""vi"")"),"Có một quan niệm phổ biến cho rằng ngành kỹ thuật chỉ dành cho nam giới.")</f>
        <v>Có một quan niệm phổ biến cho rằng ngành kỹ thuật chỉ dành cho nam giới.</v>
      </c>
    </row>
    <row r="51" ht="15.75" customHeight="1" spans="1:4">
      <c r="A51" s="4">
        <v>50</v>
      </c>
      <c r="B51" s="5" t="s">
        <v>102</v>
      </c>
      <c r="C51" s="5" t="s">
        <v>103</v>
      </c>
      <c r="D51" s="5" t="str">
        <f>IFERROR(__xludf.DUMMYFUNCTION("GOOGLETRANSLATE(C51, ""en"", ""vi"")"),"Cây có khả năng tiếp tục phát triển suốt đời.")</f>
        <v>Cây có khả năng tiếp tục phát triển suốt đời.</v>
      </c>
    </row>
    <row r="52" ht="15.75" customHeight="1" spans="1:4">
      <c r="A52" s="4">
        <v>51</v>
      </c>
      <c r="B52" s="5" t="s">
        <v>104</v>
      </c>
      <c r="C52" s="5" t="s">
        <v>105</v>
      </c>
      <c r="D52" s="5" t="str">
        <f>IFERROR(__xludf.DUMMYFUNCTION("GOOGLETRANSLATE(C52, ""en"", ""vi"")"),"Lạm phát gia tăng có thể cho thấy nhu cầu đối với các sản phẩm tiêu dùng đang tăng lên.")</f>
        <v>Lạm phát gia tăng có thể cho thấy nhu cầu đối với các sản phẩm tiêu dùng đang tăng lên.</v>
      </c>
    </row>
    <row r="53" ht="15.75" customHeight="1" spans="1:4">
      <c r="A53" s="4">
        <v>52</v>
      </c>
      <c r="B53" s="5" t="s">
        <v>106</v>
      </c>
      <c r="C53" s="5" t="s">
        <v>107</v>
      </c>
      <c r="D53" s="5" t="str">
        <f>IFERROR(__xludf.DUMMYFUNCTION("GOOGLETRANSLATE(C53, ""en"", ""vi"")"),"Các tế bào cơ giúp đưa các bộ phận của cơ thể lại gần nhau hơn.")</f>
        <v>Các tế bào cơ giúp đưa các bộ phận của cơ thể lại gần nhau hơn.</v>
      </c>
    </row>
    <row r="54" ht="15.75" customHeight="1" spans="1:4">
      <c r="A54" s="4">
        <v>53</v>
      </c>
      <c r="B54" s="5" t="s">
        <v>108</v>
      </c>
      <c r="C54" s="5" t="s">
        <v>109</v>
      </c>
      <c r="D54" s="5" t="str">
        <f>IFERROR(__xludf.DUMMYFUNCTION("GOOGLETRANSLATE(C54, ""en"", ""vi"")"),"Bạn nên đưa ra ví dụ để minh họa cho ý tưởng và lập luận của mình.")</f>
        <v>Bạn nên đưa ra ví dụ để minh họa cho ý tưởng và lập luận của mình.</v>
      </c>
    </row>
    <row r="55" ht="15.75" customHeight="1" spans="1:4">
      <c r="A55" s="4">
        <v>54</v>
      </c>
      <c r="B55" s="5" t="s">
        <v>110</v>
      </c>
      <c r="C55" s="5" t="s">
        <v>111</v>
      </c>
      <c r="D55" s="5" t="str">
        <f>IFERROR(__xludf.DUMMYFUNCTION("GOOGLETRANSLATE(C55, ""en"", ""vi"")"),"Động vật được nuôi nhốt có hành vi khác với đồng loại sống trong tự nhiên.")</f>
        <v>Động vật được nuôi nhốt có hành vi khác với đồng loại sống trong tự nhiên.</v>
      </c>
    </row>
    <row r="56" ht="15.75" customHeight="1" spans="1:4">
      <c r="A56" s="4">
        <v>55</v>
      </c>
      <c r="B56" s="5" t="s">
        <v>112</v>
      </c>
      <c r="C56" s="5" t="s">
        <v>113</v>
      </c>
      <c r="D56" s="5" t="str">
        <f>IFERROR(__xludf.DUMMYFUNCTION("GOOGLETRANSLATE(C56, ""en"", ""vi"")"),"Bài kiểm tra xếp lớp môn toán và thống kê được tổ chức mỗi học kỳ.")</f>
        <v>Bài kiểm tra xếp lớp môn toán và thống kê được tổ chức mỗi học kỳ.</v>
      </c>
    </row>
    <row r="57" ht="15.75" customHeight="1" spans="1:4">
      <c r="A57" s="4">
        <v>56</v>
      </c>
      <c r="B57" s="5" t="s">
        <v>114</v>
      </c>
      <c r="C57" s="5" t="s">
        <v>115</v>
      </c>
      <c r="D57" s="5" t="str">
        <f>IFERROR(__xludf.DUMMYFUNCTION("GOOGLETRANSLATE(C57, ""en"", ""vi"")"),"Việc sử dụng điện thoại di động không được phép trong thư viện.")</f>
        <v>Việc sử dụng điện thoại di động không được phép trong thư viện.</v>
      </c>
    </row>
    <row r="58" ht="15.75" customHeight="1" spans="1:4">
      <c r="A58" s="4">
        <v>57</v>
      </c>
      <c r="B58" s="5" t="s">
        <v>116</v>
      </c>
      <c r="C58" s="5" t="s">
        <v>117</v>
      </c>
      <c r="D58" s="5" t="str">
        <f>IFERROR(__xludf.DUMMYFUNCTION("GOOGLETRANSLATE(C58, ""en"", ""vi"")"),"Cách cha mẹ trò chuyện với con cái thường được đơn giản hóa.")</f>
        <v>Cách cha mẹ trò chuyện với con cái thường được đơn giản hóa.</v>
      </c>
    </row>
    <row r="59" ht="15.75" customHeight="1" spans="1:4">
      <c r="A59" s="4">
        <v>58</v>
      </c>
      <c r="B59" s="5" t="s">
        <v>118</v>
      </c>
      <c r="C59" s="5" t="s">
        <v>119</v>
      </c>
      <c r="D59" s="5" t="str">
        <f>IFERROR(__xludf.DUMMYFUNCTION("GOOGLETRANSLATE(C59, ""en"", ""vi"")"),"Đây thực sự là một chương trình toàn diện bao gồm cả lý thuyết và thực hành.")</f>
        <v>Đây thực sự là một chương trình toàn diện bao gồm cả lý thuyết và thực hành.</v>
      </c>
    </row>
    <row r="60" ht="15.75" customHeight="1" spans="1:4">
      <c r="A60" s="4">
        <v>59</v>
      </c>
      <c r="B60" s="5" t="s">
        <v>120</v>
      </c>
      <c r="C60" s="5" t="s">
        <v>121</v>
      </c>
      <c r="D60" s="5" t="str">
        <f>IFERROR(__xludf.DUMMYFUNCTION("GOOGLETRANSLATE(C60, ""en"", ""vi"")"),"Sinh viên được khuyến khích cân nhắc kỹ lưỡng về nhu cầu chỗ ở của mình.")</f>
        <v>Sinh viên được khuyến khích cân nhắc kỹ lưỡng về nhu cầu chỗ ở của mình.</v>
      </c>
    </row>
    <row r="61" ht="15.75" customHeight="1" spans="1:4">
      <c r="A61" s="4">
        <v>60</v>
      </c>
      <c r="B61" s="5" t="s">
        <v>122</v>
      </c>
      <c r="C61" s="5" t="s">
        <v>123</v>
      </c>
      <c r="D61" s="5" t="str">
        <f>IFERROR(__xludf.DUMMYFUNCTION("GOOGLETRANSLATE(C61, ""en"", ""vi"")"),"Hội thảo về chính sách kinh doanh bao gồm một kỳ thực tập tại một công ty địa phương.")</f>
        <v>Hội thảo về chính sách kinh doanh bao gồm một kỳ thực tập tại một công ty địa phương.</v>
      </c>
    </row>
    <row r="62" ht="15.75" customHeight="1" spans="1:4">
      <c r="A62" s="4">
        <v>61</v>
      </c>
      <c r="B62" s="5" t="s">
        <v>124</v>
      </c>
      <c r="C62" s="5" t="s">
        <v>125</v>
      </c>
      <c r="D62" s="5" t="str">
        <f>IFERROR(__xludf.DUMMYFUNCTION("GOOGLETRANSLATE(C62, ""en"", ""vi"")"),"Ông viết thơ, kịch cũng như các bài báo khoa học.")</f>
        <v>Ông viết thơ, kịch cũng như các bài báo khoa học.</v>
      </c>
    </row>
    <row r="63" ht="15.75" customHeight="1" spans="1:4">
      <c r="A63" s="4">
        <v>62</v>
      </c>
      <c r="B63" s="5" t="s">
        <v>126</v>
      </c>
      <c r="C63" s="5" t="s">
        <v>127</v>
      </c>
      <c r="D63" s="5" t="str">
        <f>IFERROR(__xludf.DUMMYFUNCTION("GOOGLETRANSLATE(C63, ""en"", ""vi"")"),"Niềm tin của người tiêu dùng có ảnh hưởng trực tiếp đến doanh số bán hàng.")</f>
        <v>Niềm tin của người tiêu dùng có ảnh hưởng trực tiếp đến doanh số bán hàng.</v>
      </c>
    </row>
    <row r="64" ht="15.75" customHeight="1" spans="1:4">
      <c r="A64" s="4">
        <v>63</v>
      </c>
      <c r="B64" s="5" t="s">
        <v>128</v>
      </c>
      <c r="C64" s="5" t="s">
        <v>129</v>
      </c>
      <c r="D64" s="5" t="str">
        <f>IFERROR(__xludf.DUMMYFUNCTION("GOOGLETRANSLATE(C64, ""en"", ""vi"")"),"Thực phẩm chứa kháng sinh có rất ít hoặc không có giá trị dinh dưỡng.")</f>
        <v>Thực phẩm chứa kháng sinh có rất ít hoặc không có giá trị dinh dưỡng.</v>
      </c>
    </row>
    <row r="65" ht="15.75" customHeight="1" spans="1:4">
      <c r="A65" s="4">
        <v>64</v>
      </c>
      <c r="B65" s="5" t="s">
        <v>130</v>
      </c>
      <c r="C65" s="5" t="s">
        <v>131</v>
      </c>
      <c r="D65" s="5" t="str">
        <f>IFERROR(__xludf.DUMMYFUNCTION("GOOGLETRANSLATE(C65, ""en"", ""vi"")"),"Đề cương bài giảng có sẵn trên trang web nội bộ của trường.")</f>
        <v>Đề cương bài giảng có sẵn trên trang web nội bộ của trường.</v>
      </c>
    </row>
    <row r="66" ht="15.75" customHeight="1" spans="1:4">
      <c r="A66" s="4">
        <v>65</v>
      </c>
      <c r="B66" s="5" t="s">
        <v>132</v>
      </c>
      <c r="C66" s="5" t="s">
        <v>133</v>
      </c>
      <c r="D66" s="5" t="str">
        <f>IFERROR(__xludf.DUMMYFUNCTION("GOOGLETRANSLATE(C66, ""en"", ""vi"")"),"Hình thức học từ xa cho phép bạn phát triển sự nghiệp phù hợp với lịch trình cá nhân.")</f>
        <v>Hình thức học từ xa cho phép bạn phát triển sự nghiệp phù hợp với lịch trình cá nhân.</v>
      </c>
    </row>
    <row r="67" ht="15.75" customHeight="1" spans="1:4">
      <c r="A67" s="4">
        <v>66</v>
      </c>
      <c r="B67" s="5" t="s">
        <v>134</v>
      </c>
      <c r="C67" s="5" t="s">
        <v>135</v>
      </c>
      <c r="D67" s="5" t="str">
        <f>IFERROR(__xludf.DUMMYFUNCTION("GOOGLETRANSLATE(C67, ""en"", ""vi"")"),"Cơ học cổ điển đôi khi được coi là một nhánh của toán học ứng dụng.")</f>
        <v>Cơ học cổ điển đôi khi được coi là một nhánh của toán học ứng dụng.</v>
      </c>
    </row>
    <row r="68" ht="15.75" customHeight="1" spans="1:4">
      <c r="A68" s="4">
        <v>67</v>
      </c>
      <c r="B68" s="5" t="s">
        <v>136</v>
      </c>
      <c r="C68" s="5" t="s">
        <v>137</v>
      </c>
      <c r="D68" s="5" t="str">
        <f>IFERROR(__xludf.DUMMYFUNCTION("GOOGLETRANSLATE(C68, ""en"", ""vi"")"),"Ngày mai sẽ có một cuộc họp nhóm tại phòng hội nghị của thư viện.")</f>
        <v>Ngày mai sẽ có một cuộc họp nhóm tại phòng hội nghị của thư viện.</v>
      </c>
    </row>
    <row r="69" ht="15.75" customHeight="1" spans="1:4">
      <c r="A69" s="4">
        <v>68</v>
      </c>
      <c r="B69" s="5" t="s">
        <v>138</v>
      </c>
      <c r="C69" s="5" t="s">
        <v>139</v>
      </c>
      <c r="D69" s="5" t="str">
        <f>IFERROR(__xludf.DUMMYFUNCTION("GOOGLETRANSLATE(C69, ""en"", ""vi"")"),"Phát triển kinh tế cần được chính phủ hỗ trợ.")</f>
        <v>Phát triển kinh tế cần được chính phủ hỗ trợ.</v>
      </c>
    </row>
    <row r="70" ht="15.75" customHeight="1" spans="1:4">
      <c r="A70" s="4">
        <v>69</v>
      </c>
      <c r="B70" s="5" t="s">
        <v>140</v>
      </c>
      <c r="C70" s="5" t="s">
        <v>141</v>
      </c>
      <c r="D70" s="5" t="str">
        <f>IFERROR(__xludf.DUMMYFUNCTION("GOOGLETRANSLATE(C70, ""en"", ""vi"")"),"Điểm khác biệt chính giữa các khóa học nằm ở hình thức đánh giá.")</f>
        <v>Điểm khác biệt chính giữa các khóa học nằm ở hình thức đánh giá.</v>
      </c>
    </row>
    <row r="71" ht="15.75" customHeight="1" spans="1:4">
      <c r="A71" s="4">
        <v>70</v>
      </c>
      <c r="B71" s="5" t="s">
        <v>142</v>
      </c>
      <c r="C71" s="5" t="s">
        <v>143</v>
      </c>
      <c r="D71" s="5" t="str">
        <f>IFERROR(__xludf.DUMMYFUNCTION("GOOGLETRANSLATE(C71, ""en"", ""vi"")"),"Xin lưu ý rằng hội thảo đã bị hủy bỏ.")</f>
        <v>Xin lưu ý rằng hội thảo đã bị hủy bỏ.</v>
      </c>
    </row>
    <row r="72" ht="15.75" customHeight="1" spans="1:4">
      <c r="A72" s="4">
        <v>71</v>
      </c>
      <c r="B72" s="5" t="s">
        <v>144</v>
      </c>
      <c r="C72" s="5" t="s">
        <v>145</v>
      </c>
      <c r="D72" s="5" t="str">
        <f>IFERROR(__xludf.DUMMYFUNCTION("GOOGLETRANSLATE(C72, ""en"", ""vi"")"),"Lý thuyết nổi tiếng này vẫn còn là nguồn gốc của nhiều tranh cãi.")</f>
        <v>Lý thuyết nổi tiếng này vẫn còn là nguồn gốc của nhiều tranh cãi.</v>
      </c>
    </row>
    <row r="73" ht="15.75" customHeight="1" spans="1:4">
      <c r="A73" s="4">
        <v>72</v>
      </c>
      <c r="B73" s="5" t="s">
        <v>146</v>
      </c>
      <c r="C73" s="5" t="s">
        <v>147</v>
      </c>
      <c r="D73" s="5" t="str">
        <f>IFERROR(__xludf.DUMMYFUNCTION("GOOGLETRANSLATE(C73, ""en"", ""vi"")"),"Giáo dục và đào tạo cung cấp những kỹ năng quan trọng cho lực lượng lao động.")</f>
        <v>Giáo dục và đào tạo cung cấp những kỹ năng quan trọng cho lực lượng lao động.</v>
      </c>
    </row>
    <row r="74" ht="15.75" customHeight="1" spans="1:4">
      <c r="A74" s="4">
        <v>73</v>
      </c>
      <c r="B74" s="5" t="s">
        <v>148</v>
      </c>
      <c r="C74" s="5" t="s">
        <v>149</v>
      </c>
      <c r="D74" s="5" t="str">
        <f>IFERROR(__xludf.DUMMYFUNCTION("GOOGLETRANSLATE(C74, ""en"", ""vi"")"),"Bạn sẽ tích lũy được nhiều kỹ năng trong suốt quá trình học tập.")</f>
        <v>Bạn sẽ tích lũy được nhiều kỹ năng trong suốt quá trình học tập.</v>
      </c>
    </row>
    <row r="75" ht="15.75" customHeight="1" spans="1:4">
      <c r="A75" s="4">
        <v>74</v>
      </c>
      <c r="B75" s="5" t="s">
        <v>150</v>
      </c>
      <c r="C75" s="5" t="s">
        <v>151</v>
      </c>
      <c r="D75" s="5" t="str">
        <f>IFERROR(__xludf.DUMMYFUNCTION("GOOGLETRANSLATE(C75, ""en"", ""vi"")"),"Ngành học địa lý đô thị bao gồm cả nghiên cứu về nhân khẩu học.")</f>
        <v>Ngành học địa lý đô thị bao gồm cả nghiên cứu về nhân khẩu học.</v>
      </c>
    </row>
    <row r="76" ht="15.75" customHeight="1" spans="1:4">
      <c r="A76" s="4">
        <v>75</v>
      </c>
      <c r="B76" s="5" t="s">
        <v>152</v>
      </c>
      <c r="C76" s="5" t="s">
        <v>153</v>
      </c>
      <c r="D76" s="5" t="str">
        <f>IFERROR(__xludf.DUMMYFUNCTION("GOOGLETRANSLATE(C76, ""en"", ""vi"")"),"Phần mở đầu là một yếu tố thiết yếu của bài thuyết trình.")</f>
        <v>Phần mở đầu là một yếu tố thiết yếu của bài thuyết trình.</v>
      </c>
    </row>
    <row r="77" ht="15.75" customHeight="1" spans="1:4">
      <c r="A77" s="4">
        <v>76</v>
      </c>
      <c r="B77" s="5" t="s">
        <v>154</v>
      </c>
      <c r="C77" s="5" t="s">
        <v>155</v>
      </c>
      <c r="D77" s="5" t="str">
        <f>IFERROR(__xludf.DUMMYFUNCTION("GOOGLETRANSLATE(C77, ""en"", ""vi"")"),"Họ đã phát triển một phương pháp đào tạo nhân viên độc đáo.")</f>
        <v>Họ đã phát triển một phương pháp đào tạo nhân viên độc đáo.</v>
      </c>
    </row>
    <row r="78" ht="15.75" customHeight="1" spans="1:4">
      <c r="A78" s="4">
        <v>77</v>
      </c>
      <c r="B78" s="5" t="s">
        <v>156</v>
      </c>
      <c r="C78" s="5" t="s">
        <v>157</v>
      </c>
      <c r="D78" s="5" t="str">
        <f>IFERROR(__xludf.DUMMYFUNCTION("GOOGLETRANSLATE(C78, ""en"", ""vi"")"),"Thất bại trong tổ chức được xem xét từ nhiều góc độ khác nhau trong các tài liệu học thuật.")</f>
        <v>Thất bại trong tổ chức được xem xét từ nhiều góc độ khác nhau trong các tài liệu học thuật.</v>
      </c>
    </row>
    <row r="79" ht="15.75" customHeight="1" spans="1:4">
      <c r="A79" s="4">
        <v>78</v>
      </c>
      <c r="B79" s="5" t="s">
        <v>158</v>
      </c>
      <c r="C79" s="5" t="s">
        <v>159</v>
      </c>
      <c r="D79" s="5" t="str">
        <f>IFERROR(__xludf.DUMMYFUNCTION("GOOGLETRANSLATE(C79, ""en"", ""vi"")"),"Các phương tiện truyền thông mới đã vượt qua ranh giới quốc gia truyền thống.")</f>
        <v>Các phương tiện truyền thông mới đã vượt qua ranh giới quốc gia truyền thống.</v>
      </c>
    </row>
    <row r="80" ht="15.75" customHeight="1" spans="1:4">
      <c r="A80" s="4">
        <v>79</v>
      </c>
      <c r="B80" s="5" t="s">
        <v>160</v>
      </c>
      <c r="C80" s="5" t="s">
        <v>161</v>
      </c>
      <c r="D80" s="5" t="str">
        <f>IFERROR(__xludf.DUMMYFUNCTION("GOOGLETRANSLATE(C80, ""en"", ""vi"")"),"Tất cả bài tập của các bạn phải nộp trước ngày mai.")</f>
        <v>Tất cả bài tập của các bạn phải nộp trước ngày mai.</v>
      </c>
    </row>
    <row r="81" ht="15.75" customHeight="1" spans="1:4">
      <c r="A81" s="4">
        <v>80</v>
      </c>
      <c r="B81" s="5" t="s">
        <v>162</v>
      </c>
      <c r="C81" s="5" t="s">
        <v>163</v>
      </c>
      <c r="D81" s="5" t="str">
        <f>IFERROR(__xludf.DUMMYFUNCTION("GOOGLETRANSLATE(C81, ""en"", ""vi"")"),"Năng lực học thuật của nền Cộng hòa La Mã thời kỳ đầu sẽ được xem xét.")</f>
        <v>Năng lực học thuật của nền Cộng hòa La Mã thời kỳ đầu sẽ được xem xét.</v>
      </c>
    </row>
    <row r="82" ht="15.75" customHeight="1" spans="1:4">
      <c r="A82" s="4">
        <v>81</v>
      </c>
      <c r="B82" s="5" t="s">
        <v>164</v>
      </c>
      <c r="C82" s="5" t="s">
        <v>165</v>
      </c>
      <c r="D82" s="5" t="str">
        <f>IFERROR(__xludf.DUMMYFUNCTION("GOOGLETRANSLATE(C82, ""en"", ""vi"")"),"Những ai đang cân nhắc sự nghiệp trong lĩnh vực marketing nên tham dự buổi nói chuyện này.")</f>
        <v>Những ai đang cân nhắc sự nghiệp trong lĩnh vực marketing nên tham dự buổi nói chuyện này.</v>
      </c>
    </row>
    <row r="83" ht="15.75" customHeight="1" spans="1:4">
      <c r="A83" s="4">
        <v>82</v>
      </c>
      <c r="B83" s="5" t="s">
        <v>166</v>
      </c>
      <c r="C83" s="5" t="s">
        <v>167</v>
      </c>
      <c r="D83" s="5" t="str">
        <f>IFERROR(__xludf.DUMMYFUNCTION("GOOGLETRANSLATE(C83, ""en"", ""vi"")"),"Xây dựng lòng tin không phải là điều có thể đạt được trong một sớm một chiều.")</f>
        <v>Xây dựng lòng tin không phải là điều có thể đạt được trong một sớm một chiều.</v>
      </c>
    </row>
    <row r="84" ht="15.75" customHeight="1" spans="1:4">
      <c r="A84" s="4">
        <v>83</v>
      </c>
      <c r="B84" s="5" t="s">
        <v>168</v>
      </c>
      <c r="C84" s="5" t="s">
        <v>169</v>
      </c>
      <c r="D84" s="5" t="str">
        <f>IFERROR(__xludf.DUMMYFUNCTION("GOOGLETRANSLATE(C84, ""en"", ""vi"")"),"Cuốn sách kia không toàn diện lắm, nhưng lại sâu sắc hơn.")</f>
        <v>Cuốn sách kia không toàn diện lắm, nhưng lại sâu sắc hơn.</v>
      </c>
    </row>
    <row r="85" ht="15.75" customHeight="1" spans="1:4">
      <c r="A85" s="4">
        <v>84</v>
      </c>
      <c r="B85" s="5" t="s">
        <v>170</v>
      </c>
      <c r="C85" s="5" t="s">
        <v>171</v>
      </c>
      <c r="D85" s="5" t="str">
        <f>IFERROR(__xludf.DUMMYFUNCTION("GOOGLETRANSLATE(C85, ""en"", ""vi"")"),"Giám đốc phòng trưng bày rất biết ơn khoản quyên góp ẩn danh.")</f>
        <v>Giám đốc phòng trưng bày rất biết ơn khoản quyên góp ẩn danh.</v>
      </c>
    </row>
    <row r="86" ht="15.75" customHeight="1" spans="1:4">
      <c r="A86" s="4">
        <v>85</v>
      </c>
      <c r="B86" s="5" t="s">
        <v>172</v>
      </c>
      <c r="C86" s="5" t="s">
        <v>173</v>
      </c>
      <c r="D86" s="5" t="str">
        <f>IFERROR(__xludf.DUMMYFUNCTION("GOOGLETRANSLATE(C86, ""en"", ""vi"")"),"Khoa múa dàn dựng các buổi biểu diễn công phu mỗi học kỳ.")</f>
        <v>Khoa múa dàn dựng các buổi biểu diễn công phu mỗi học kỳ.</v>
      </c>
    </row>
    <row r="87" ht="15.75" customHeight="1" spans="1:4">
      <c r="A87" s="4">
        <v>86</v>
      </c>
      <c r="B87" s="5" t="s">
        <v>174</v>
      </c>
      <c r="C87" s="5" t="s">
        <v>175</v>
      </c>
      <c r="D87" s="5" t="str">
        <f>IFERROR(__xludf.DUMMYFUNCTION("GOOGLETRANSLATE(C87, ""en"", ""vi"")"),"Tầm quan trọng của việc làm việc nhóm với các bạn sinh viên khác là vô cùng lớn.")</f>
        <v>Tầm quan trọng của việc làm việc nhóm với các bạn sinh viên khác là vô cùng lớn.</v>
      </c>
    </row>
    <row r="88" ht="15.75" customHeight="1" spans="1:4">
      <c r="A88" s="4">
        <v>87</v>
      </c>
      <c r="B88" s="5" t="s">
        <v>176</v>
      </c>
      <c r="C88" s="5" t="s">
        <v>177</v>
      </c>
      <c r="D88" s="5" t="str">
        <f>IFERROR(__xludf.DUMMYFUNCTION("GOOGLETRANSLATE(C88, ""en"", ""vi"")"),"Mặc dù có những điểm khác biệt, tất cả các dạng sống đều chia sẻ một số đặc điểm chung.")</f>
        <v>Mặc dù có những điểm khác biệt, tất cả các dạng sống đều chia sẻ một số đặc điểm chung.</v>
      </c>
    </row>
    <row r="89" ht="15.75" customHeight="1" spans="1:4">
      <c r="A89" s="4">
        <v>88</v>
      </c>
      <c r="B89" s="5" t="s">
        <v>178</v>
      </c>
      <c r="C89" s="5" t="s">
        <v>179</v>
      </c>
      <c r="D89" s="5" t="str">
        <f>IFERROR(__xludf.DUMMYFUNCTION("GOOGLETRANSLATE(C89, ""en"", ""vi"")"),"Nhiều bệnh từng rất nguy hiểm nay đã được xóa sổ.")</f>
        <v>Nhiều bệnh từng rất nguy hiểm nay đã được xóa sổ.</v>
      </c>
    </row>
    <row r="90" ht="15.75" customHeight="1" spans="1:4">
      <c r="A90" s="4">
        <v>89</v>
      </c>
      <c r="B90" s="5" t="s">
        <v>180</v>
      </c>
      <c r="C90" s="5" t="s">
        <v>181</v>
      </c>
      <c r="D90" s="5" t="str">
        <f>IFERROR(__xludf.DUMMYFUNCTION("GOOGLETRANSLATE(C90, ""en"", ""vi"")"),"Hãy chắc chắn rằng bạn chọn một khóa học mang lại cơ hội nghề nghiệp tuyệt vời.")</f>
        <v>Hãy chắc chắn rằng bạn chọn một khóa học mang lại cơ hội nghề nghiệp tuyệt vời.</v>
      </c>
    </row>
    <row r="91" ht="15.75" customHeight="1" spans="1:4">
      <c r="A91" s="4">
        <v>90</v>
      </c>
      <c r="B91" s="5" t="s">
        <v>182</v>
      </c>
      <c r="C91" s="5" t="s">
        <v>183</v>
      </c>
      <c r="D91" s="5" t="str">
        <f>IFERROR(__xludf.DUMMYFUNCTION("GOOGLETRANSLATE(C91, ""en"", ""vi"")"),"Hiện nay, nhiều bài giảng đại học có thể được xem trực tuyến.")</f>
        <v>Hiện nay, nhiều bài giảng đại học có thể được xem trực tuyến.</v>
      </c>
    </row>
    <row r="92" ht="15.75" customHeight="1" spans="1:4">
      <c r="A92" s="4">
        <v>91</v>
      </c>
      <c r="B92" s="5" t="s">
        <v>184</v>
      </c>
      <c r="C92" s="5" t="s">
        <v>185</v>
      </c>
      <c r="D92" s="5" t="str">
        <f>IFERROR(__xludf.DUMMYFUNCTION("GOOGLETRANSLATE(C92, ""en"", ""vi"")"),"Các buổi hướng dẫn sẽ được lên lịch vào tuần cuối cùng của học kỳ.")</f>
        <v>Các buổi hướng dẫn sẽ được lên lịch vào tuần cuối cùng của học kỳ.</v>
      </c>
    </row>
    <row r="93" ht="15.75" customHeight="1" spans="1:4">
      <c r="A93" s="4">
        <v>92</v>
      </c>
      <c r="B93" s="5" t="s">
        <v>186</v>
      </c>
      <c r="C93" s="5" t="s">
        <v>187</v>
      </c>
      <c r="D93" s="5" t="str">
        <f>IFERROR(__xludf.DUMMYFUNCTION("GOOGLETRANSLATE(C93, ""en"", ""vi"")"),"Thật kỳ lạ, người ta vừa ấn tượng lại vừa hoài nghi về số liệu thống kê.")</f>
        <v>Thật kỳ lạ, người ta vừa ấn tượng lại vừa hoài nghi về số liệu thống kê.</v>
      </c>
    </row>
    <row r="94" ht="15.75" customHeight="1" spans="1:4">
      <c r="A94" s="4">
        <v>93</v>
      </c>
      <c r="B94" s="5" t="s">
        <v>188</v>
      </c>
      <c r="C94" s="5" t="s">
        <v>189</v>
      </c>
      <c r="D94" s="5" t="str">
        <f>IFERROR(__xludf.DUMMYFUNCTION("GOOGLETRANSLATE(C94, ""en"", ""vi"")"),"Sinh viên phải mặc quần áo bảo hộ do phòng thí nghiệm y tế cung cấp.")</f>
        <v>Sinh viên phải mặc quần áo bảo hộ do phòng thí nghiệm y tế cung cấp.</v>
      </c>
    </row>
    <row r="95" ht="15.75" customHeight="1" spans="1:4">
      <c r="A95" s="4">
        <v>94</v>
      </c>
      <c r="B95" s="5" t="s">
        <v>190</v>
      </c>
      <c r="C95" s="5" t="s">
        <v>191</v>
      </c>
      <c r="D95" s="5" t="str">
        <f>IFERROR(__xludf.DUMMYFUNCTION("GOOGLETRANSLATE(C95, ""en"", ""vi"")"),"Mọi ngành công nghiệp đều là một hệ thống gồm các yếu tố đầu vào, quy trình, đầu ra và phản hồi.")</f>
        <v>Mọi ngành công nghiệp đều là một hệ thống gồm các yếu tố đầu vào, quy trình, đầu ra và phản hồi.</v>
      </c>
    </row>
    <row r="96" ht="15.75" customHeight="1" spans="1:4">
      <c r="A96" s="4">
        <v>95</v>
      </c>
      <c r="B96" s="5" t="s">
        <v>192</v>
      </c>
      <c r="C96" s="5" t="s">
        <v>193</v>
      </c>
      <c r="D96" s="5" t="str">
        <f>IFERROR(__xludf.DUMMYFUNCTION("GOOGLETRANSLATE(C96, ""en"", ""vi"")"),"Theo quan điểm của chúng tôi, các cải cách giáo dục đã được thực hiện một cách chưa đầy đủ.")</f>
        <v>Theo quan điểm của chúng tôi, các cải cách giáo dục đã được thực hiện một cách chưa đầy đủ.</v>
      </c>
    </row>
    <row r="97" ht="15.75" customHeight="1" spans="1:4">
      <c r="A97" s="4">
        <v>96</v>
      </c>
      <c r="B97" s="5" t="s">
        <v>194</v>
      </c>
      <c r="C97" s="5" t="s">
        <v>195</v>
      </c>
      <c r="D97" s="5" t="str">
        <f>IFERROR(__xludf.DUMMYFUNCTION("GOOGLETRANSLATE(C97, ""en"", ""vi"")"),"Hầu hết các nhà khoa học tin rằng biến đổi khí hậu đang đe dọa sự sống trên trái đất.")</f>
        <v>Hầu hết các nhà khoa học tin rằng biến đổi khí hậu đang đe dọa sự sống trên trái đất.</v>
      </c>
    </row>
    <row r="98" ht="15.75" customHeight="1" spans="1:4">
      <c r="A98" s="4">
        <v>97</v>
      </c>
      <c r="B98" s="5" t="s">
        <v>196</v>
      </c>
      <c r="C98" s="5" t="s">
        <v>197</v>
      </c>
      <c r="D98" s="5" t="str">
        <f>IFERROR(__xludf.DUMMYFUNCTION("GOOGLETRANSLATE(C98, ""en"", ""vi"")"),"Tình trạng kinh tế của nền Cộng hòa La Mã thời kỳ đầu sẽ được nghiên cứu.")</f>
        <v>Tình trạng kinh tế của nền Cộng hòa La Mã thời kỳ đầu sẽ được nghiên cứu.</v>
      </c>
    </row>
    <row r="99" ht="15.75" customHeight="1" spans="1:4">
      <c r="A99" s="4">
        <v>98</v>
      </c>
      <c r="B99" s="5" t="s">
        <v>198</v>
      </c>
      <c r="C99" s="5" t="s">
        <v>199</v>
      </c>
      <c r="D99" s="5" t="str">
        <f>IFERROR(__xludf.DUMMYFUNCTION("GOOGLETRANSLATE(C99, ""en"", ""vi"")"),"Anh ấy đã tìm được việc làm tại một công ty luật rất danh tiếng.")</f>
        <v>Anh ấy đã tìm được việc làm tại một công ty luật rất danh tiếng.</v>
      </c>
    </row>
    <row r="100" ht="15.75" customHeight="1" spans="1:4">
      <c r="A100" s="4">
        <v>99</v>
      </c>
      <c r="B100" s="5" t="s">
        <v>200</v>
      </c>
      <c r="C100" s="5" t="s">
        <v>201</v>
      </c>
      <c r="D100" s="5" t="str">
        <f>IFERROR(__xludf.DUMMYFUNCTION("GOOGLETRANSLATE(C100, ""en"", ""vi"")"),"Nhiếp ảnh có thể rất hữu ích cho nghiên cứu địa lý.")</f>
        <v>Nhiếp ảnh có thể rất hữu ích cho nghiên cứu địa lý.</v>
      </c>
    </row>
    <row r="101" ht="15.75" customHeight="1" spans="1:4">
      <c r="A101" s="4">
        <v>100</v>
      </c>
      <c r="B101" s="5" t="s">
        <v>202</v>
      </c>
      <c r="C101" s="5" t="s">
        <v>203</v>
      </c>
      <c r="D101" s="5" t="str">
        <f>IFERROR(__xludf.DUMMYFUNCTION("GOOGLETRANSLATE(C101, ""en"", ""vi"")"),"Trường áp dụng hệ thống đánh giá liên tục.")</f>
        <v>Trường áp dụng hệ thống đánh giá liên tục.</v>
      </c>
    </row>
    <row r="102" ht="15.75" customHeight="1" spans="1:4">
      <c r="A102" s="4">
        <v>101</v>
      </c>
      <c r="B102" s="5" t="s">
        <v>204</v>
      </c>
      <c r="C102" s="5" t="s">
        <v>205</v>
      </c>
      <c r="D102" s="5" t="str">
        <f>IFERROR(__xludf.DUMMYFUNCTION("GOOGLETRANSLATE(C102, ""en"", ""vi"")"),"Một giáo sư đã nghỉ học một năm để tập trung viết sách.")</f>
        <v>Một giáo sư đã nghỉ học một năm để tập trung viết sách.</v>
      </c>
    </row>
    <row r="103" ht="15.75" customHeight="1" spans="1:4">
      <c r="A103" s="4">
        <v>102</v>
      </c>
      <c r="B103" s="5" t="s">
        <v>206</v>
      </c>
      <c r="C103" s="5" t="s">
        <v>207</v>
      </c>
      <c r="D103" s="5" t="str">
        <f>IFERROR(__xludf.DUMMYFUNCTION("GOOGLETRANSLATE(C103, ""en"", ""vi"")"),"Một bài luận học thuật tốt cần trình bày một luận điểm rõ ràng.")</f>
        <v>Một bài luận học thuật tốt cần trình bày một luận điểm rõ ràng.</v>
      </c>
    </row>
    <row r="104" ht="15.75" customHeight="1" spans="1:4">
      <c r="A104" s="4">
        <v>103</v>
      </c>
      <c r="B104" s="5" t="s">
        <v>208</v>
      </c>
      <c r="C104" s="5" t="s">
        <v>209</v>
      </c>
      <c r="D104" s="5" t="str">
        <f>IFERROR(__xludf.DUMMYFUNCTION("GOOGLETRANSLATE(C104, ""en"", ""vi"")"),"Các nghiên cứu đã chỉ ra rằng có mối tương quan tích cực giữa hai biến số này.")</f>
        <v>Các nghiên cứu đã chỉ ra rằng có mối tương quan tích cực giữa hai biến số này.</v>
      </c>
    </row>
    <row r="105" ht="15.75" customHeight="1" spans="1:4">
      <c r="A105" s="4">
        <v>104</v>
      </c>
      <c r="B105" s="5" t="s">
        <v>210</v>
      </c>
      <c r="C105" s="5" t="s">
        <v>211</v>
      </c>
      <c r="D105" s="5" t="str">
        <f>IFERROR(__xludf.DUMMYFUNCTION("GOOGLETRANSLATE(C105, ""en"", ""vi"")"),"Có thể sẽ không dễ dàng giải quyết được vấn đề này.")</f>
        <v>Có thể sẽ không dễ dàng giải quyết được vấn đề này.</v>
      </c>
    </row>
    <row r="106" ht="15.75" customHeight="1" spans="1:4">
      <c r="A106" s="4">
        <v>105</v>
      </c>
      <c r="B106" s="5" t="s">
        <v>212</v>
      </c>
      <c r="C106" s="5" t="s">
        <v>213</v>
      </c>
      <c r="D106" s="5" t="str">
        <f>IFERROR(__xludf.DUMMYFUNCTION("GOOGLETRANSLATE(C106, ""en"", ""vi"")"),"Khoa này có tỷ lệ sinh viên sau đại học cao hơn mức bình thường.")</f>
        <v>Khoa này có tỷ lệ sinh viên sau đại học cao hơn mức bình thường.</v>
      </c>
    </row>
    <row r="107" ht="15.75" customHeight="1" spans="1:4">
      <c r="A107" s="4">
        <v>106</v>
      </c>
      <c r="B107" s="5" t="s">
        <v>214</v>
      </c>
      <c r="C107" s="5" t="s">
        <v>215</v>
      </c>
      <c r="D107" s="5" t="str">
        <f>IFERROR(__xludf.DUMMYFUNCTION("GOOGLETRANSLATE(C107, ""en"", ""vi"")"),"Hỗn hợp được định nghĩa là một hợp chất gồm các thành phần hóa học riêng biệt.")</f>
        <v>Hỗn hợp được định nghĩa là một hợp chất gồm các thành phần hóa học riêng biệt.</v>
      </c>
    </row>
    <row r="108" ht="15.75" customHeight="1" spans="1:4">
      <c r="A108" s="4">
        <v>107</v>
      </c>
      <c r="B108" s="5" t="s">
        <v>216</v>
      </c>
      <c r="C108" s="5" t="s">
        <v>217</v>
      </c>
      <c r="D108" s="5" t="str">
        <f>IFERROR(__xludf.DUMMYFUNCTION("GOOGLETRANSLATE(C108, ""en"", ""vi"")"),"Muối được sản xuất từ ​​nước biển hoặc khai thác từ lòng đất.")</f>
        <v>Muối được sản xuất từ ​​nước biển hoặc khai thác từ lòng đất.</v>
      </c>
    </row>
    <row r="109" ht="15.75" customHeight="1" spans="1:4">
      <c r="A109" s="4">
        <v>108</v>
      </c>
      <c r="B109" s="5" t="s">
        <v>218</v>
      </c>
      <c r="C109" s="5" t="s">
        <v>219</v>
      </c>
      <c r="D109" s="5" t="str">
        <f>IFERROR(__xludf.DUMMYFUNCTION("GOOGLETRANSLATE(C109, ""en"", ""vi"")"),"Nông dân cần thích ứng với những thay đổi về khí hậu.")</f>
        <v>Nông dân cần thích ứng với những thay đổi về khí hậu.</v>
      </c>
    </row>
    <row r="110" ht="15.75" customHeight="1" spans="1:4">
      <c r="A110" s="4">
        <v>109</v>
      </c>
      <c r="B110" s="5" t="s">
        <v>220</v>
      </c>
      <c r="C110" s="5" t="s">
        <v>221</v>
      </c>
      <c r="D110" s="5" t="str">
        <f>IFERROR(__xludf.DUMMYFUNCTION("GOOGLETRANSLATE(C110, ""en"", ""vi"")"),"Hiện nay, sự tăng trưởng của nền kinh tế rất khó dự đoán.")</f>
        <v>Hiện nay, sự tăng trưởng của nền kinh tế rất khó dự đoán.</v>
      </c>
    </row>
    <row r="111" ht="15.75" customHeight="1" spans="1:4">
      <c r="A111" s="4">
        <v>110</v>
      </c>
      <c r="B111" s="5" t="s">
        <v>222</v>
      </c>
      <c r="C111" s="5" t="s">
        <v>223</v>
      </c>
      <c r="D111" s="5" t="str">
        <f>IFERROR(__xludf.DUMMYFUNCTION("GOOGLETRANSLATE(C111, ""en"", ""vi"")"),"Quá trình xét duyệt hồ sơ có thể mất nhiều thời gian hơn dự kiến.")</f>
        <v>Quá trình xét duyệt hồ sơ có thể mất nhiều thời gian hơn dự kiến.</v>
      </c>
    </row>
    <row r="112" ht="15.75" customHeight="1" spans="1:4">
      <c r="A112" s="4">
        <v>111</v>
      </c>
      <c r="B112" s="5" t="s">
        <v>224</v>
      </c>
      <c r="C112" s="5" t="s">
        <v>225</v>
      </c>
      <c r="D112" s="5" t="str">
        <f>IFERROR(__xludf.DUMMYFUNCTION("GOOGLETRANSLATE(C112, ""en"", ""vi"")"),"Mật ong có thể được dùng làm thực phẩm và sản phẩm chăm sóc sức khỏe.")</f>
        <v>Mật ong có thể được dùng làm thực phẩm và sản phẩm chăm sóc sức khỏe.</v>
      </c>
    </row>
    <row r="113" ht="15.75" customHeight="1" spans="1:4">
      <c r="A113" s="4">
        <v>112</v>
      </c>
      <c r="B113" s="5" t="s">
        <v>226</v>
      </c>
      <c r="C113" s="5" t="s">
        <v>227</v>
      </c>
      <c r="D113" s="5" t="str">
        <f>IFERROR(__xludf.DUMMYFUNCTION("GOOGLETRANSLATE(C113, ""en"", ""vi"")"),"Trong khi một số người coi đó là lòng nhiệt thành cải cách, những người khác lại xem đó là sự liều lĩnh.")</f>
        <v>Trong khi một số người coi đó là lòng nhiệt thành cải cách, những người khác lại xem đó là sự liều lĩnh.</v>
      </c>
    </row>
    <row r="114" ht="15.75" customHeight="1" spans="1:4">
      <c r="A114" s="4">
        <v>113</v>
      </c>
      <c r="B114" s="5" t="s">
        <v>228</v>
      </c>
      <c r="C114" s="5" t="s">
        <v>229</v>
      </c>
      <c r="D114" s="5" t="str">
        <f>IFERROR(__xludf.DUMMYFUNCTION("GOOGLETRANSLATE(C114, ""en"", ""vi"")"),"Các ý tưởng của bạn được thảo luận và tranh luận trong các buổi hội thảo và hướng dẫn.")</f>
        <v>Các ý tưởng của bạn được thảo luận và tranh luận trong các buổi hội thảo và hướng dẫn.</v>
      </c>
    </row>
    <row r="115" ht="15.75" customHeight="1" spans="1:4">
      <c r="A115" s="4">
        <v>114</v>
      </c>
      <c r="B115" s="5" t="s">
        <v>230</v>
      </c>
      <c r="C115" s="5" t="s">
        <v>231</v>
      </c>
      <c r="D115" s="5" t="str">
        <f>IFERROR(__xludf.DUMMYFUNCTION("GOOGLETRANSLATE(C115, ""en"", ""vi"")"),"Các đại diện sinh viên sẽ đến từng lớp học để phát phiếu bầu.")</f>
        <v>Các đại diện sinh viên sẽ đến từng lớp học để phát phiếu bầu.</v>
      </c>
    </row>
    <row r="116" ht="15.75" customHeight="1" spans="1:4">
      <c r="A116" s="4">
        <v>115</v>
      </c>
      <c r="B116" s="5" t="s">
        <v>232</v>
      </c>
      <c r="C116" s="5" t="s">
        <v>233</v>
      </c>
      <c r="D116" s="5" t="str">
        <f>IFERROR(__xludf.DUMMYFUNCTION("GOOGLETRANSLATE(C116, ""en"", ""vi"")"),"Hãy nhớ rằng, cuộc bầu cử danh giá cho vị trí quản lý có những tiêu chí đủ điều kiện rất nghiêm ngặt.")</f>
        <v>Hãy nhớ rằng, cuộc bầu cử danh giá cho vị trí quản lý có những tiêu chí đủ điều kiện rất nghiêm ngặt.</v>
      </c>
    </row>
    <row r="117" ht="15.75" customHeight="1" spans="1:4">
      <c r="A117" s="4">
        <v>116</v>
      </c>
      <c r="B117" s="5" t="s">
        <v>234</v>
      </c>
      <c r="C117" s="5" t="s">
        <v>235</v>
      </c>
      <c r="D117" s="5" t="str">
        <f>IFERROR(__xludf.DUMMYFUNCTION("GOOGLETRANSLATE(C117, ""en"", ""vi"")"),"Bài giảng ngày mai sẽ bàn về chính sách giáo dục của Hoa Kỳ.")</f>
        <v>Bài giảng ngày mai sẽ bàn về chính sách giáo dục của Hoa Kỳ.</v>
      </c>
    </row>
    <row r="118" ht="15.75" customHeight="1" spans="1:4">
      <c r="A118" s="4">
        <v>117</v>
      </c>
      <c r="B118" s="5" t="s">
        <v>236</v>
      </c>
      <c r="C118" s="5" t="s">
        <v>237</v>
      </c>
      <c r="D118" s="5" t="str">
        <f>IFERROR(__xludf.DUMMYFUNCTION("GOOGLETRANSLATE(C118, ""en"", ""vi"")"),"Yêu cầu nộp đơn muộn sẽ không được chấp nhận trong bất kỳ trường hợp nào.")</f>
        <v>Yêu cầu nộp đơn muộn sẽ không được chấp nhận trong bất kỳ trường hợp nào.</v>
      </c>
    </row>
    <row r="119" ht="15.75" customHeight="1" spans="1:4">
      <c r="A119" s="4">
        <v>118</v>
      </c>
      <c r="B119" s="5" t="s">
        <v>238</v>
      </c>
      <c r="C119" s="5" t="s">
        <v>239</v>
      </c>
      <c r="D119" s="5" t="str">
        <f>IFERROR(__xludf.DUMMYFUNCTION("GOOGLETRANSLATE(C119, ""en"", ""vi"")"),"Các buổi hướng dẫn tự chọn được tổ chức vào tuần cuối cùng của học kỳ.")</f>
        <v>Các buổi hướng dẫn tự chọn được tổ chức vào tuần cuối cùng của học kỳ.</v>
      </c>
    </row>
    <row r="120" ht="15.75" customHeight="1" spans="1:4">
      <c r="A120" s="4">
        <v>119</v>
      </c>
      <c r="B120" s="5" t="s">
        <v>240</v>
      </c>
      <c r="C120" s="5" t="s">
        <v>241</v>
      </c>
      <c r="D120" s="5" t="str">
        <f>IFERROR(__xludf.DUMMYFUNCTION("GOOGLETRANSLATE(C120, ""en"", ""vi"")"),"Ngân sách tiếp thị đã tăng gấp đôi kể từ đầu năm.")</f>
        <v>Ngân sách tiếp thị đã tăng gấp đôi kể từ đầu năm.</v>
      </c>
    </row>
    <row r="121" ht="15.75" customHeight="1" spans="1:4">
      <c r="A121" s="4">
        <v>120</v>
      </c>
      <c r="B121" s="5" t="s">
        <v>242</v>
      </c>
      <c r="C121" s="5" t="s">
        <v>243</v>
      </c>
      <c r="D121" s="5" t="str">
        <f>IFERROR(__xludf.DUMMYFUNCTION("GOOGLETRANSLATE(C121, ""en"", ""vi"")"),"Ủy viên sẽ phân bổ kinh phí cho tất cả các cơ quan chức năng.")</f>
        <v>Ủy viên sẽ phân bổ kinh phí cho tất cả các cơ quan chức năng.</v>
      </c>
    </row>
    <row r="122" ht="15.75" customHeight="1" spans="1:4">
      <c r="A122" s="4">
        <v>121</v>
      </c>
      <c r="B122" s="5" t="s">
        <v>244</v>
      </c>
      <c r="C122" s="5" t="s">
        <v>245</v>
      </c>
      <c r="D122" s="5" t="str">
        <f>IFERROR(__xludf.DUMMYFUNCTION("GOOGLETRANSLATE(C122, ""en"", ""vi"")"),"Dân số đã tăng mạnh trong hai mươi năm gần đây.")</f>
        <v>Dân số đã tăng mạnh trong hai mươi năm gần đây.</v>
      </c>
    </row>
    <row r="123" ht="15.75" customHeight="1" spans="1:4">
      <c r="A123" s="4">
        <v>122</v>
      </c>
      <c r="B123" s="5" t="s">
        <v>246</v>
      </c>
      <c r="C123" s="5" t="s">
        <v>247</v>
      </c>
      <c r="D123" s="5" t="str">
        <f>IFERROR(__xludf.DUMMYFUNCTION("GOOGLETRANSLATE(C123, ""en"", ""vi"")"),"Bảo tàng đóng cửa vào thứ Hai tuần thứ ba của mỗi tháng.")</f>
        <v>Bảo tàng đóng cửa vào thứ Hai tuần thứ ba của mỗi tháng.</v>
      </c>
    </row>
    <row r="124" ht="15.75" customHeight="1" spans="1:4">
      <c r="A124" s="4">
        <v>123</v>
      </c>
      <c r="B124" s="5" t="s">
        <v>248</v>
      </c>
      <c r="C124" s="5" t="s">
        <v>249</v>
      </c>
      <c r="D124" s="5" t="str">
        <f>IFERROR(__xludf.DUMMYFUNCTION("GOOGLETRANSLATE(C124, ""en"", ""vi"")"),"Bạn phải có khả năng làm việc nhóm.")</f>
        <v>Bạn phải có khả năng làm việc nhóm.</v>
      </c>
    </row>
    <row r="125" ht="15.75" customHeight="1" spans="1:4">
      <c r="A125" s="4">
        <v>124</v>
      </c>
      <c r="B125" s="5" t="s">
        <v>250</v>
      </c>
      <c r="C125" s="5" t="s">
        <v>251</v>
      </c>
      <c r="D125" s="5" t="str">
        <f>IFERROR(__xludf.DUMMYFUNCTION("GOOGLETRANSLATE(C125, ""en"", ""vi"")"),"Một số người tin rằng giáo dục nên được miễn phí cho tất cả mọi người.")</f>
        <v>Một số người tin rằng giáo dục nên được miễn phí cho tất cả mọi người.</v>
      </c>
    </row>
    <row r="126" ht="15.75" customHeight="1" spans="1:4">
      <c r="A126" s="4">
        <v>125</v>
      </c>
      <c r="B126" s="5" t="s">
        <v>252</v>
      </c>
      <c r="C126" s="5" t="s">
        <v>253</v>
      </c>
      <c r="D126" s="5" t="str">
        <f>IFERROR(__xludf.DUMMYFUNCTION("GOOGLETRANSLATE(C126, ""en"", ""vi"")"),"Máy tính ngày xưa thường lớn hơn bây giờ.")</f>
        <v>Máy tính ngày xưa thường lớn hơn bây giờ.</v>
      </c>
    </row>
    <row r="127" ht="15.75" customHeight="1" spans="1:4">
      <c r="A127" s="4">
        <v>126</v>
      </c>
      <c r="B127" s="5" t="s">
        <v>254</v>
      </c>
      <c r="C127" s="5" t="s">
        <v>255</v>
      </c>
      <c r="D127" s="5" t="str">
        <f>IFERROR(__xludf.DUMMYFUNCTION("GOOGLETRANSLATE(C127, ""en"", ""vi"")"),"Tâm lý học xã hội nghiên cứu về việc tìm hiểu hành vi của con người.")</f>
        <v>Tâm lý học xã hội nghiên cứu về việc tìm hiểu hành vi của con người.</v>
      </c>
    </row>
    <row r="128" ht="15.75" customHeight="1" spans="1:4">
      <c r="A128" s="4">
        <v>127</v>
      </c>
      <c r="B128" s="5" t="s">
        <v>256</v>
      </c>
      <c r="C128" s="5" t="s">
        <v>257</v>
      </c>
      <c r="D128" s="5" t="str">
        <f>IFERROR(__xludf.DUMMYFUNCTION("GOOGLETRANSLATE(C128, ""en"", ""vi"")"),"Việc lên kế hoạch thời gian học tập cẩn thận rất quan trọng.")</f>
        <v>Việc lên kế hoạch thời gian học tập cẩn thận rất quan trọng.</v>
      </c>
    </row>
    <row r="129" ht="15.75" customHeight="1" spans="1:4">
      <c r="A129" s="4">
        <v>128</v>
      </c>
      <c r="B129" s="5" t="s">
        <v>258</v>
      </c>
      <c r="C129" s="5" t="s">
        <v>259</v>
      </c>
      <c r="D129" s="5" t="str">
        <f>IFERROR(__xludf.DUMMYFUNCTION("GOOGLETRANSLATE(C129, ""en"", ""vi"")"),"Cơ bắp giúp đưa các bộ phận của cơ thể lại gần nhau.")</f>
        <v>Cơ bắp giúp đưa các bộ phận của cơ thể lại gần nhau.</v>
      </c>
    </row>
    <row r="130" ht="15.75" customHeight="1" spans="1:4">
      <c r="A130" s="4">
        <v>129</v>
      </c>
      <c r="B130" s="5" t="s">
        <v>260</v>
      </c>
      <c r="C130" s="5" t="s">
        <v>261</v>
      </c>
      <c r="D130" s="5" t="str">
        <f>IFERROR(__xludf.DUMMYFUNCTION("GOOGLETRANSLATE(C130, ""en"", ""vi"")"),"Khi hệ rễ của cây bị suy yếu, tán lá cũng bị ảnh hưởng.")</f>
        <v>Khi hệ rễ của cây bị suy yếu, tán lá cũng bị ảnh hưởng.</v>
      </c>
    </row>
    <row r="131" ht="15.75" customHeight="1" spans="1:4">
      <c r="A131" s="4">
        <v>130</v>
      </c>
      <c r="B131" s="5" t="s">
        <v>262</v>
      </c>
      <c r="C131" s="5" t="s">
        <v>263</v>
      </c>
      <c r="D131" s="5" t="str">
        <f>IFERROR(__xludf.DUMMYFUNCTION("GOOGLETRANSLATE(C131, ""en"", ""vi"")"),"Cuộc Cách mạng Công nghiệp ở châu Âu được thúc đẩy bởi công nghệ hơi nước.")</f>
        <v>Cuộc Cách mạng Công nghiệp ở châu Âu được thúc đẩy bởi công nghệ hơi nước.</v>
      </c>
    </row>
    <row r="132" ht="15.75" customHeight="1" spans="1:4">
      <c r="A132" s="4">
        <v>131</v>
      </c>
      <c r="B132" s="5" t="s">
        <v>264</v>
      </c>
      <c r="C132" s="5" t="s">
        <v>265</v>
      </c>
      <c r="D132" s="5" t="str">
        <f>IFERROR(__xludf.DUMMYFUNCTION("GOOGLETRANSLATE(C132, ""en"", ""vi"")"),"Trình độ học vấn được cho là có liên quan đến hoàn cảnh kinh tế và xã hội.")</f>
        <v>Trình độ học vấn được cho là có liên quan đến hoàn cảnh kinh tế và xã hội.</v>
      </c>
    </row>
    <row r="133" ht="15.75" customHeight="1" spans="1:4">
      <c r="A133" s="4">
        <v>132</v>
      </c>
      <c r="B133" s="5" t="s">
        <v>266</v>
      </c>
      <c r="C133" s="5" t="s">
        <v>267</v>
      </c>
      <c r="D133" s="5" t="str">
        <f>IFERROR(__xludf.DUMMYFUNCTION("GOOGLETRANSLATE(C133, ""en"", ""vi"")"),"Gia sư sẽ hướng dẫn bạn cách chuẩn bị bài luận.")</f>
        <v>Gia sư sẽ hướng dẫn bạn cách chuẩn bị bài luận.</v>
      </c>
    </row>
    <row r="134" ht="15.75" customHeight="1" spans="1:4">
      <c r="A134" s="4">
        <v>133</v>
      </c>
      <c r="B134" s="5" t="s">
        <v>268</v>
      </c>
      <c r="C134" s="5" t="s">
        <v>269</v>
      </c>
      <c r="D134" s="5" t="str">
        <f>IFERROR(__xludf.DUMMYFUNCTION("GOOGLETRANSLATE(C134, ""en"", ""vi"")"),"Hãy truy cập trang web nếu bạn đang tìm kiếm sách giáo khoa giảm giá.")</f>
        <v>Hãy truy cập trang web nếu bạn đang tìm kiếm sách giáo khoa giảm giá.</v>
      </c>
    </row>
    <row r="135" ht="15.75" customHeight="1" spans="1:4">
      <c r="A135" s="4">
        <v>134</v>
      </c>
      <c r="B135" s="5" t="s">
        <v>270</v>
      </c>
      <c r="C135" s="5" t="s">
        <v>271</v>
      </c>
      <c r="D135" s="5" t="str">
        <f>IFERROR(__xludf.DUMMYFUNCTION("GOOGLETRANSLATE(C135, ""en"", ""vi"")"),"Các phương pháp canh tác trên toàn thế giới đã phát triển vượt bậc trong thời gian gần đây.")</f>
        <v>Các phương pháp canh tác trên toàn thế giới đã phát triển vượt bậc trong thời gian gần đây.</v>
      </c>
    </row>
    <row r="136" ht="15.75" customHeight="1" spans="1:4">
      <c r="A136" s="4">
        <v>135</v>
      </c>
      <c r="B136" s="5" t="s">
        <v>272</v>
      </c>
      <c r="C136" s="5" t="s">
        <v>273</v>
      </c>
      <c r="D136" s="5" t="str">
        <f>IFERROR(__xludf.DUMMYFUNCTION("GOOGLETRANSLATE(C136, ""en"", ""vi"")"),"Môn bóng đá được chơi trong tất cả các năm học tại trường đại học.")</f>
        <v>Môn bóng đá được chơi trong tất cả các năm học tại trường đại học.</v>
      </c>
    </row>
    <row r="137" ht="15.75" customHeight="1" spans="1:4">
      <c r="A137" s="4">
        <v>136</v>
      </c>
      <c r="B137" s="5" t="s">
        <v>274</v>
      </c>
      <c r="C137" s="5" t="s">
        <v>275</v>
      </c>
      <c r="D137" s="5" t="str">
        <f>IFERROR(__xludf.DUMMYFUNCTION("GOOGLETRANSLATE(C137, ""en"", ""vi"")"),"Toán học cung cấp nền tảng để hiểu và phân tích dữ liệu.")</f>
        <v>Toán học cung cấp nền tảng để hiểu và phân tích dữ liệu.</v>
      </c>
    </row>
    <row r="138" ht="15.75" customHeight="1" spans="1:4">
      <c r="A138" s="4">
        <v>137</v>
      </c>
      <c r="B138" s="5" t="s">
        <v>276</v>
      </c>
      <c r="C138" s="5" t="s">
        <v>277</v>
      </c>
      <c r="D138" s="5" t="str">
        <f>IFERROR(__xludf.DUMMYFUNCTION("GOOGLETRANSLATE(C138, ""en"", ""vi"")"),"Hãy bắt đầu bằng cách nộp đơn xin học bổng đại học ngay bây giờ!")</f>
        <v>Hãy bắt đầu bằng cách nộp đơn xin học bổng đại học ngay bây giờ!</v>
      </c>
    </row>
    <row r="139" ht="15.75" customHeight="1" spans="1:4">
      <c r="A139" s="4">
        <v>138</v>
      </c>
      <c r="B139" s="5" t="s">
        <v>278</v>
      </c>
      <c r="C139" s="5" t="s">
        <v>279</v>
      </c>
      <c r="D139" s="5" t="str">
        <f>IFERROR(__xludf.DUMMYFUNCTION("GOOGLETRANSLATE(C139, ""en"", ""vi"")"),"Giờ làm việc sẽ thay đổi vào học kỳ tới.")</f>
        <v>Giờ làm việc sẽ thay đổi vào học kỳ tới.</v>
      </c>
    </row>
    <row r="140" ht="15.75" customHeight="1" spans="1:4">
      <c r="A140" s="4">
        <v>139</v>
      </c>
      <c r="B140" s="5" t="s">
        <v>280</v>
      </c>
      <c r="C140" s="5" t="s">
        <v>281</v>
      </c>
      <c r="D140" s="5" t="str">
        <f>IFERROR(__xludf.DUMMYFUNCTION("GOOGLETRANSLATE(C140, ""en"", ""vi"")"),"Các nghiên cứu cho thấy người dân Hồng Kông là những người năng động nhất châu Á.")</f>
        <v>Các nghiên cứu cho thấy người dân Hồng Kông là những người năng động nhất châu Á.</v>
      </c>
    </row>
    <row r="141" ht="15.75" customHeight="1" spans="1:4">
      <c r="A141" s="4">
        <v>140</v>
      </c>
      <c r="B141" s="5" t="s">
        <v>282</v>
      </c>
      <c r="C141" s="5" t="s">
        <v>283</v>
      </c>
      <c r="D141" s="5" t="str">
        <f>IFERROR(__xludf.DUMMYFUNCTION("GOOGLETRANSLATE(C141, ""en"", ""vi"")"),"Có lẽ sự sống tồn tại trên các hành tinh khác trong vũ trụ.")</f>
        <v>Có lẽ sự sống tồn tại trên các hành tinh khác trong vũ trụ.</v>
      </c>
    </row>
    <row r="142" ht="15.75" customHeight="1" spans="1:4">
      <c r="A142" s="4">
        <v>141</v>
      </c>
      <c r="B142" s="5" t="s">
        <v>284</v>
      </c>
      <c r="C142" s="5" t="s">
        <v>285</v>
      </c>
      <c r="D142" s="5" t="str">
        <f>IFERROR(__xludf.DUMMYFUNCTION("GOOGLETRANSLATE(C142, ""en"", ""vi"")"),"Không thể phủ nhận rằng lý thuyết này có một số hạn chế.")</f>
        <v>Không thể phủ nhận rằng lý thuyết này có một số hạn chế.</v>
      </c>
    </row>
    <row r="143" ht="15.75" customHeight="1" spans="1:4">
      <c r="A143" s="4">
        <v>142</v>
      </c>
      <c r="B143" s="5" t="s">
        <v>286</v>
      </c>
      <c r="C143" s="5" t="s">
        <v>287</v>
      </c>
      <c r="D143" s="5" t="str">
        <f>IFERROR(__xludf.DUMMYFUNCTION("GOOGLETRANSLATE(C143, ""en"", ""vi"")"),"Tỷ lệ thất nghiệp đã giảm xuống mức thấp nhất trong nhiều năm.")</f>
        <v>Tỷ lệ thất nghiệp đã giảm xuống mức thấp nhất trong nhiều năm.</v>
      </c>
    </row>
    <row r="144" ht="15.75" customHeight="1" spans="1:4">
      <c r="A144" s="4">
        <v>143</v>
      </c>
      <c r="B144" s="5" t="s">
        <v>288</v>
      </c>
      <c r="C144" s="5" t="s">
        <v>289</v>
      </c>
      <c r="D144" s="5" t="str">
        <f>IFERROR(__xludf.DUMMYFUNCTION("GOOGLETRANSLATE(C144, ""en"", ""vi"")"),"Chúng tôi đang tìm kiếm những phương pháp mới để thu hút người học.")</f>
        <v>Chúng tôi đang tìm kiếm những phương pháp mới để thu hút người học.</v>
      </c>
    </row>
    <row r="145" ht="15.75" customHeight="1" spans="1:4">
      <c r="A145" s="4">
        <v>144</v>
      </c>
      <c r="B145" s="5" t="s">
        <v>290</v>
      </c>
      <c r="C145" s="5" t="s">
        <v>291</v>
      </c>
      <c r="D145" s="5" t="str">
        <f>IFERROR(__xludf.DUMMYFUNCTION("GOOGLETRANSLATE(C145, ""en"", ""vi"")"),"Chúng tôi chưa thể xem xét việc tăng giá ở giai đoạn này.")</f>
        <v>Chúng tôi chưa thể xem xét việc tăng giá ở giai đoạn này.</v>
      </c>
    </row>
    <row r="146" ht="15.75" customHeight="1" spans="1:4">
      <c r="A146" s="4">
        <v>145</v>
      </c>
      <c r="B146" s="5" t="s">
        <v>292</v>
      </c>
      <c r="C146" s="5" t="s">
        <v>293</v>
      </c>
      <c r="D146" s="5" t="str">
        <f>IFERROR(__xludf.DUMMYFUNCTION("GOOGLETRANSLATE(C146, ""en"", ""vi"")"),"Khi tham dự phỏng vấn xin việc, đúng giờ là yếu tố then chốt.")</f>
        <v>Khi tham dự phỏng vấn xin việc, đúng giờ là yếu tố then chốt.</v>
      </c>
    </row>
    <row r="147" ht="15.75" customHeight="1" spans="1:4">
      <c r="A147" s="4">
        <v>146</v>
      </c>
      <c r="B147" s="5" t="s">
        <v>294</v>
      </c>
      <c r="C147" s="5" t="s">
        <v>295</v>
      </c>
      <c r="D147" s="5" t="str">
        <f>IFERROR(__xludf.DUMMYFUNCTION("GOOGLETRANSLATE(C147, ""en"", ""vi"")"),"Bạn có thể sử dụng máy tính xách tay của mình trong giờ giảng.")</f>
        <v>Bạn có thể sử dụng máy tính xách tay của mình trong giờ giảng.</v>
      </c>
    </row>
    <row r="148" ht="15.75" customHeight="1" spans="1:4">
      <c r="A148" s="4">
        <v>147</v>
      </c>
      <c r="B148" s="5" t="s">
        <v>296</v>
      </c>
      <c r="C148" s="5" t="s">
        <v>297</v>
      </c>
      <c r="D148" s="5" t="str">
        <f>IFERROR(__xludf.DUMMYFUNCTION("GOOGLETRANSLATE(C148, ""en"", ""vi"")"),"Có một giải thưởng dành cho bài thuyết trình xuất sắc nhất của sinh viên.")</f>
        <v>Có một giải thưởng dành cho bài thuyết trình xuất sắc nhất của sinh viên.</v>
      </c>
    </row>
    <row r="149" ht="15.75" customHeight="1" spans="1:4">
      <c r="A149" s="4">
        <v>148</v>
      </c>
      <c r="B149" s="5" t="s">
        <v>298</v>
      </c>
      <c r="C149" s="5" t="s">
        <v>299</v>
      </c>
      <c r="D149" s="5" t="str">
        <f>IFERROR(__xludf.DUMMYFUNCTION("GOOGLETRANSLATE(C149, ""en"", ""vi"")"),"Khóa đào tạo giáo viên bao gồm việc quan sát các lớp học.")</f>
        <v>Khóa đào tạo giáo viên bao gồm việc quan sát các lớp học.</v>
      </c>
    </row>
    <row r="150" ht="15.75" customHeight="1" spans="1:4">
      <c r="A150" s="4">
        <v>149</v>
      </c>
      <c r="B150" s="5" t="s">
        <v>300</v>
      </c>
      <c r="C150" s="5" t="s">
        <v>301</v>
      </c>
      <c r="D150" s="5" t="str">
        <f>IFERROR(__xludf.DUMMYFUNCTION("GOOGLETRANSLATE(C150, ""en"", ""vi"")"),"Một số người cho rằng giáo dục không quan trọng lắm.")</f>
        <v>Một số người cho rằng giáo dục không quan trọng lắm.</v>
      </c>
    </row>
    <row r="151" ht="15.75" customHeight="1" spans="1:4">
      <c r="A151" s="4">
        <v>150</v>
      </c>
      <c r="B151" s="5" t="s">
        <v>302</v>
      </c>
      <c r="C151" s="5" t="s">
        <v>303</v>
      </c>
      <c r="D151" s="5" t="str">
        <f>IFERROR(__xludf.DUMMYFUNCTION("GOOGLETRANSLATE(C151, ""en"", ""vi"")"),"Một số ứng cử viên đủ điều kiện được xem là những nhà khoa học vĩ đại nhất mọi thời đại.")</f>
        <v>Một số ứng cử viên đủ điều kiện được xem là những nhà khoa học vĩ đại nhất mọi thời đại.</v>
      </c>
    </row>
    <row r="152" ht="15.75" customHeight="1" spans="1:4">
      <c r="A152" s="4">
        <v>151</v>
      </c>
      <c r="B152" s="5" t="s">
        <v>304</v>
      </c>
      <c r="C152" s="5" t="s">
        <v>305</v>
      </c>
      <c r="D152" s="5" t="str">
        <f>IFERROR(__xludf.DUMMYFUNCTION("GOOGLETRANSLATE(C152, ""en"", ""vi"")"),"Sinh viên lớn tuổi thường thích nghi rất tốt với cuộc sống đại học.")</f>
        <v>Sinh viên lớn tuổi thường thích nghi rất tốt với cuộc sống đại học.</v>
      </c>
    </row>
    <row r="153" ht="15.75" customHeight="1" spans="1:4">
      <c r="A153" s="4">
        <v>152</v>
      </c>
      <c r="B153" s="5" t="s">
        <v>306</v>
      </c>
      <c r="C153" s="5" t="s">
        <v>307</v>
      </c>
      <c r="D153" s="5" t="str">
        <f>IFERROR(__xludf.DUMMYFUNCTION("GOOGLETRANSLATE(C153, ""en"", ""vi"")"),"Thư viện đóng vai trò quan trọng trong cuộc sống của sinh viên.")</f>
        <v>Thư viện đóng vai trò quan trọng trong cuộc sống của sinh viên.</v>
      </c>
    </row>
    <row r="154" ht="15.75" customHeight="1" spans="1:4">
      <c r="A154" s="4">
        <v>153</v>
      </c>
      <c r="B154" s="5" t="s">
        <v>308</v>
      </c>
      <c r="C154" s="5" t="s">
        <v>309</v>
      </c>
      <c r="D154" s="5" t="str">
        <f>IFERROR(__xludf.DUMMYFUNCTION("GOOGLETRANSLATE(C154, ""en"", ""vi"")"),"Tất cả các bài tập phải được nộp trực tiếp tại văn phòng khoa.")</f>
        <v>Tất cả các bài tập phải được nộp trực tiếp tại văn phòng khoa.</v>
      </c>
    </row>
    <row r="155" ht="15.75" customHeight="1" spans="1:4">
      <c r="A155" s="4">
        <v>154</v>
      </c>
      <c r="B155" s="5" t="s">
        <v>310</v>
      </c>
      <c r="C155" s="5" t="s">
        <v>311</v>
      </c>
      <c r="D155" s="5" t="str">
        <f>IFERROR(__xludf.DUMMYFUNCTION("GOOGLETRANSLATE(C155, ""en"", ""vi"")"),"Thư viện khoa học hiện đang nằm ở tầng trệt của thư viện.")</f>
        <v>Thư viện khoa học hiện đang nằm ở tầng trệt của thư viện.</v>
      </c>
    </row>
    <row r="156" ht="15.75" customHeight="1" spans="1:4">
      <c r="A156" s="4">
        <v>155</v>
      </c>
      <c r="B156" s="5" t="s">
        <v>312</v>
      </c>
      <c r="C156" s="5" t="s">
        <v>313</v>
      </c>
      <c r="D156" s="5" t="str">
        <f>IFERROR(__xludf.DUMMYFUNCTION("GOOGLETRANSLATE(C156, ""en"", ""vi"")"),"Việc tham gia tích cực vào lớp học là một phần quan trọng trong điểm số cuối kỳ của bạn.")</f>
        <v>Việc tham gia tích cực vào lớp học là một phần quan trọng trong điểm số cuối kỳ của bạn.</v>
      </c>
    </row>
    <row r="157" ht="15.75" customHeight="1" spans="1:4">
      <c r="A157" s="4">
        <v>156</v>
      </c>
      <c r="B157" s="5" t="s">
        <v>314</v>
      </c>
      <c r="C157" s="5" t="s">
        <v>315</v>
      </c>
      <c r="D157" s="5" t="str">
        <f>IFERROR(__xludf.DUMMYFUNCTION("GOOGLETRANSLATE(C157, ""en"", ""vi"")"),"Phản ứng hóa học xảy ra khi các chất kết hợp hoặc biến đổi.")</f>
        <v>Phản ứng hóa học xảy ra khi các chất kết hợp hoặc biến đổi.</v>
      </c>
    </row>
    <row r="158" ht="15.75" customHeight="1" spans="1:4">
      <c r="A158" s="4">
        <v>157</v>
      </c>
      <c r="B158" s="5" t="s">
        <v>316</v>
      </c>
      <c r="C158" s="5" t="s">
        <v>317</v>
      </c>
      <c r="D158" s="5" t="str">
        <f>IFERROR(__xludf.DUMMYFUNCTION("GOOGLETRANSLATE(C158, ""en"", ""vi"")"),"Các bài tập trên lớp tạo cơ hội cho sinh viên tìm hiểu sâu sắc về chủ đề.")</f>
        <v>Các bài tập trên lớp tạo cơ hội cho sinh viên tìm hiểu sâu sắc về chủ đề.</v>
      </c>
    </row>
    <row r="159" ht="15.75" customHeight="1" spans="1:4">
      <c r="A159" s="4">
        <v>158</v>
      </c>
      <c r="B159" s="5" t="s">
        <v>318</v>
      </c>
      <c r="C159" s="5" t="s">
        <v>319</v>
      </c>
      <c r="D159" s="5" t="str">
        <f>IFERROR(__xludf.DUMMYFUNCTION("GOOGLETRANSLATE(C159, ""en"", ""vi"")"),"Rõ ràng là biểu cảm khuôn mặt của chúng ta khác nhau trên khắp thế giới.")</f>
        <v>Rõ ràng là biểu cảm khuôn mặt của chúng ta khác nhau trên khắp thế giới.</v>
      </c>
    </row>
    <row r="160" ht="15.75" customHeight="1" spans="1:4">
      <c r="A160" s="4">
        <v>159</v>
      </c>
      <c r="B160" s="5" t="s">
        <v>320</v>
      </c>
      <c r="C160" s="5" t="s">
        <v>321</v>
      </c>
      <c r="D160" s="5" t="str">
        <f>IFERROR(__xludf.DUMMYFUNCTION("GOOGLETRANSLATE(C160, ""en"", ""vi"")"),"Bạn có thể tìm thấy mẫu đơn khiếu nại trên trang web.")</f>
        <v>Bạn có thể tìm thấy mẫu đơn khiếu nại trên trang web.</v>
      </c>
    </row>
    <row r="161" ht="15.75" customHeight="1" spans="1:4">
      <c r="A161" s="4">
        <v>160</v>
      </c>
      <c r="B161" s="5" t="s">
        <v>322</v>
      </c>
      <c r="C161" s="5" t="s">
        <v>323</v>
      </c>
      <c r="D161" s="5" t="str">
        <f>IFERROR(__xludf.DUMMYFUNCTION("GOOGLETRANSLATE(C161, ""en"", ""vi"")"),"Khóa học bao gồm sự kết hợp giữa toán học thuần túy và toán học ứng dụng.")</f>
        <v>Khóa học bao gồm sự kết hợp giữa toán học thuần túy và toán học ứng dụng.</v>
      </c>
    </row>
    <row r="162" ht="15.75" customHeight="1" spans="1:4">
      <c r="A162" s="4">
        <v>161</v>
      </c>
      <c r="B162" s="5" t="s">
        <v>324</v>
      </c>
      <c r="C162" s="5" t="s">
        <v>325</v>
      </c>
      <c r="D162" s="5" t="str">
        <f>IFERROR(__xludf.DUMMYFUNCTION("GOOGLETRANSLATE(C162, ""en"", ""vi"")"),"Đường là một hợp chất bao gồm các nguyên tử cacbon, oxy và hydro.")</f>
        <v>Đường là một hợp chất bao gồm các nguyên tử cacbon, oxy và hydro.</v>
      </c>
    </row>
    <row r="163" ht="15.75" customHeight="1" spans="1:4">
      <c r="A163" s="4">
        <v>162</v>
      </c>
      <c r="B163" s="5" t="s">
        <v>326</v>
      </c>
      <c r="C163" s="5" t="s">
        <v>327</v>
      </c>
      <c r="D163" s="5" t="str">
        <f>IFERROR(__xludf.DUMMYFUNCTION("GOOGLETRANSLATE(C163, ""en"", ""vi"")"),"Môi trường biển đã bị tàn phá do ô nhiễm và phát triển không bền vững.")</f>
        <v>Môi trường biển đã bị tàn phá do ô nhiễm và phát triển không bền vững.</v>
      </c>
    </row>
    <row r="164" ht="15.75" customHeight="1" spans="1:4">
      <c r="A164" s="4">
        <v>163</v>
      </c>
      <c r="B164" s="5" t="s">
        <v>328</v>
      </c>
      <c r="C164" s="5" t="s">
        <v>329</v>
      </c>
      <c r="D164" s="5" t="str">
        <f>IFERROR(__xludf.DUMMYFUNCTION("GOOGLETRANSLATE(C164, ""en"", ""vi"")"),"Tất cả các quy trình thí nghiệm đều được nêu chi tiết trong cẩm nang phòng thí nghiệm.")</f>
        <v>Tất cả các quy trình thí nghiệm đều được nêu chi tiết trong cẩm nang phòng thí nghiệm.</v>
      </c>
    </row>
    <row r="165" ht="15.75" customHeight="1" spans="1:4">
      <c r="A165" s="4">
        <v>164</v>
      </c>
      <c r="B165" s="5" t="s">
        <v>330</v>
      </c>
      <c r="C165" s="5" t="s">
        <v>331</v>
      </c>
      <c r="D165" s="5" t="str">
        <f>IFERROR(__xludf.DUMMYFUNCTION("GOOGLETRANSLATE(C165, ""en"", ""vi"")"),"Sinh viên được thông báo rằng buổi giảng hôm nay đã bị hủy.")</f>
        <v>Sinh viên được thông báo rằng buổi giảng hôm nay đã bị hủy.</v>
      </c>
    </row>
    <row r="166" ht="15.75" customHeight="1" spans="1:4">
      <c r="A166" s="4">
        <v>165</v>
      </c>
      <c r="B166" s="5" t="s">
        <v>332</v>
      </c>
      <c r="C166" s="5" t="s">
        <v>333</v>
      </c>
      <c r="D166" s="5" t="str">
        <f>IFERROR(__xludf.DUMMYFUNCTION("GOOGLETRANSLATE(C166, ""en"", ""vi"")"),"Một trong những lời hứa tranh cử là giảm thuế thu nhập.")</f>
        <v>Một trong những lời hứa tranh cử là giảm thuế thu nhập.</v>
      </c>
    </row>
    <row r="167" ht="15.75" customHeight="1" spans="1:4">
      <c r="A167" s="4">
        <v>166</v>
      </c>
      <c r="B167" s="5" t="s">
        <v>334</v>
      </c>
      <c r="C167" s="5" t="s">
        <v>335</v>
      </c>
      <c r="D167" s="5" t="str">
        <f>IFERROR(__xludf.DUMMYFUNCTION("GOOGLETRANSLATE(C167, ""en"", ""vi"")"),"Môn học tự chọn này giới thiệu cho sinh viên kỹ thuật về các phương pháp và khái niệm xây dựng.")</f>
        <v>Môn học tự chọn này giới thiệu cho sinh viên kỹ thuật về các phương pháp và khái niệm xây dựng.</v>
      </c>
    </row>
    <row r="168" ht="15.75" customHeight="1" spans="1:4">
      <c r="A168" s="4">
        <v>167</v>
      </c>
      <c r="B168" s="5" t="s">
        <v>336</v>
      </c>
      <c r="C168" s="5" t="s">
        <v>337</v>
      </c>
      <c r="D168" s="5" t="str">
        <f>IFERROR(__xludf.DUMMYFUNCTION("GOOGLETRANSLATE(C168, ""en"", ""vi"")"),"Có rất nhiều tranh luận về chủ đề đó.")</f>
        <v>Có rất nhiều tranh luận về chủ đề đó.</v>
      </c>
    </row>
    <row r="169" ht="15.75" customHeight="1" spans="1:4">
      <c r="A169" s="4">
        <v>168</v>
      </c>
      <c r="B169" s="5" t="s">
        <v>338</v>
      </c>
      <c r="C169" s="5" t="s">
        <v>339</v>
      </c>
      <c r="D169" s="5" t="str">
        <f>IFERROR(__xludf.DUMMYFUNCTION("GOOGLETRANSLATE(C169, ""en"", ""vi"")"),"Thực vật là những sinh vật sống có thể phát triển trên cạn hoặc dưới nước.")</f>
        <v>Thực vật là những sinh vật sống có thể phát triển trên cạn hoặc dưới nước.</v>
      </c>
    </row>
    <row r="170" ht="15.75" customHeight="1" spans="1:4">
      <c r="A170" s="4">
        <v>169</v>
      </c>
      <c r="B170" s="5" t="s">
        <v>340</v>
      </c>
      <c r="C170" s="5" t="s">
        <v>341</v>
      </c>
      <c r="D170" s="5" t="str">
        <f>IFERROR(__xludf.DUMMYFUNCTION("GOOGLETRANSLATE(C170, ""en"", ""vi"")"),"Nhiệt độ nước biển tăng cao là một dấu hiệu của biến đổi khí hậu.")</f>
        <v>Nhiệt độ nước biển tăng cao là một dấu hiệu của biến đổi khí hậu.</v>
      </c>
    </row>
    <row r="171" ht="15.75" customHeight="1" spans="1:4">
      <c r="A171" s="4">
        <v>170</v>
      </c>
      <c r="B171" s="5" t="s">
        <v>342</v>
      </c>
      <c r="C171" s="5" t="s">
        <v>343</v>
      </c>
      <c r="D171" s="5" t="str">
        <f>IFERROR(__xludf.DUMMYFUNCTION("GOOGLETRANSLATE(C171, ""en"", ""vi"")"),"Nhà ăn phục vụ súp, salad, bánh mì kẹp, gà và cá.")</f>
        <v>Nhà ăn phục vụ súp, salad, bánh mì kẹp, gà và cá.</v>
      </c>
    </row>
    <row r="172" ht="15.75" customHeight="1" spans="1:4">
      <c r="A172" s="4">
        <v>171</v>
      </c>
      <c r="B172" s="5" t="s">
        <v>344</v>
      </c>
      <c r="C172" s="5" t="s">
        <v>345</v>
      </c>
      <c r="D172" s="5" t="str">
        <f>IFERROR(__xludf.DUMMYFUNCTION("GOOGLETRANSLATE(C172, ""en"", ""vi"")"),"Máy in tự động in hai mặt trên mỗi trang giấy.")</f>
        <v>Máy in tự động in hai mặt trên mỗi trang giấy.</v>
      </c>
    </row>
    <row r="173" ht="15.75" customHeight="1" spans="1:4">
      <c r="A173" s="4">
        <v>172</v>
      </c>
      <c r="B173" s="5" t="s">
        <v>346</v>
      </c>
      <c r="C173" s="5" t="s">
        <v>347</v>
      </c>
      <c r="D173" s="5" t="str">
        <f>IFERROR(__xludf.DUMMYFUNCTION("GOOGLETRANSLATE(C173, ""en"", ""vi"")"),"Một số nguyên lý khoa học phải được học bằng lời nói hoặc bằng suy luận logic.")</f>
        <v>Một số nguyên lý khoa học phải được học bằng lời nói hoặc bằng suy luận logic.</v>
      </c>
    </row>
    <row r="174" ht="15.75" customHeight="1" spans="1:4">
      <c r="A174" s="4">
        <v>173</v>
      </c>
      <c r="B174" s="5" t="s">
        <v>348</v>
      </c>
      <c r="C174" s="5" t="s">
        <v>349</v>
      </c>
      <c r="D174" s="5" t="str">
        <f>IFERROR(__xludf.DUMMYFUNCTION("GOOGLETRANSLATE(C174, ""en"", ""vi"")"),"Sự phối hợp giữa các phòng ban là đặc điểm của các công ty thành công.")</f>
        <v>Sự phối hợp giữa các phòng ban là đặc điểm của các công ty thành công.</v>
      </c>
    </row>
    <row r="175" ht="15.75" customHeight="1" spans="1:4">
      <c r="A175" s="4">
        <v>174</v>
      </c>
      <c r="B175" s="5" t="s">
        <v>350</v>
      </c>
      <c r="C175" s="5" t="s">
        <v>351</v>
      </c>
      <c r="D175" s="5" t="str">
        <f>IFERROR(__xludf.DUMMYFUNCTION("GOOGLETRANSLATE(C175, ""en"", ""vi"")"),"Bạn cần đảm bảo rằng tất cả các bài luận của mình được nộp đúng hạn.")</f>
        <v>Bạn cần đảm bảo rằng tất cả các bài luận của mình được nộp đúng hạn.</v>
      </c>
    </row>
    <row r="176" ht="15.75" customHeight="1" spans="1:4">
      <c r="A176" s="4">
        <v>175</v>
      </c>
      <c r="B176" s="5" t="s">
        <v>352</v>
      </c>
      <c r="C176" s="5" t="s">
        <v>353</v>
      </c>
      <c r="D176" s="5" t="str">
        <f>IFERROR(__xludf.DUMMYFUNCTION("GOOGLETRANSLATE(C176, ""en"", ""vi"")"),"Cần có thêm nghiên cứu trước khi có thể đưa ra kết luận chắc chắn.")</f>
        <v>Cần có thêm nghiên cứu trước khi có thể đưa ra kết luận chắc chắn.</v>
      </c>
    </row>
    <row r="177" ht="15.75" customHeight="1" spans="1:4">
      <c r="A177" s="4">
        <v>176</v>
      </c>
      <c r="B177" s="5" t="s">
        <v>354</v>
      </c>
      <c r="C177" s="5" t="s">
        <v>355</v>
      </c>
      <c r="D177" s="5" t="str">
        <f>IFERROR(__xludf.DUMMYFUNCTION("GOOGLETRANSLATE(C177, ""en"", ""vi"")"),"Trước khi tham gia các lớp học, bạn phải đăng ký trực tuyến hoặc qua đường bưu điện.")</f>
        <v>Trước khi tham gia các lớp học, bạn phải đăng ký trực tuyến hoặc qua đường bưu điện.</v>
      </c>
    </row>
    <row r="178" ht="15.75" customHeight="1" spans="1:4">
      <c r="A178" s="4">
        <v>177</v>
      </c>
      <c r="B178" s="5" t="s">
        <v>356</v>
      </c>
      <c r="C178" s="5" t="s">
        <v>357</v>
      </c>
      <c r="D178" s="5" t="str">
        <f>IFERROR(__xludf.DUMMYFUNCTION("GOOGLETRANSLATE(C178, ""en"", ""vi"")"),"Các nhà thiết kế cần phải bắt kịp các xu hướng xã hội.")</f>
        <v>Các nhà thiết kế cần phải bắt kịp các xu hướng xã hội.</v>
      </c>
    </row>
    <row r="179" ht="15.75" customHeight="1" spans="1:4">
      <c r="A179" s="4">
        <v>178</v>
      </c>
      <c r="B179" s="5" t="s">
        <v>358</v>
      </c>
      <c r="C179" s="5" t="s">
        <v>359</v>
      </c>
      <c r="D179" s="5" t="str">
        <f>IFERROR(__xludf.DUMMYFUNCTION("GOOGLETRANSLATE(C179, ""en"", ""vi"")"),"Mực nước biển dâng cao là dấu hiệu của biến đổi khí hậu.")</f>
        <v>Mực nước biển dâng cao là dấu hiệu của biến đổi khí hậu.</v>
      </c>
    </row>
    <row r="180" ht="15.75" customHeight="1" spans="1:4">
      <c r="A180" s="4">
        <v>179</v>
      </c>
      <c r="B180" s="5" t="s">
        <v>360</v>
      </c>
      <c r="C180" s="5" t="s">
        <v>361</v>
      </c>
      <c r="D180" s="5" t="str">
        <f>IFERROR(__xludf.DUMMYFUNCTION("GOOGLETRANSLATE(C180, ""en"", ""vi"")"),"Chúng tôi khuyến khích sinh viên hoàn tất hồ sơ đăng ký trước thời hạn.")</f>
        <v>Chúng tôi khuyến khích sinh viên hoàn tất hồ sơ đăng ký trước thời hạn.</v>
      </c>
    </row>
    <row r="181" ht="15.75" customHeight="1" spans="1:4">
      <c r="A181" s="4">
        <v>180</v>
      </c>
      <c r="B181" s="5" t="s">
        <v>362</v>
      </c>
      <c r="C181" s="5" t="s">
        <v>363</v>
      </c>
      <c r="D181" s="5" t="str">
        <f>IFERROR(__xludf.DUMMYFUNCTION("GOOGLETRANSLATE(C181, ""en"", ""vi"")"),"Hội trường đại học nằm ngay gần đó.")</f>
        <v>Hội trường đại học nằm ngay gần đó.</v>
      </c>
    </row>
    <row r="182" ht="15.75" customHeight="1" spans="1:4">
      <c r="A182" s="4">
        <v>181</v>
      </c>
      <c r="B182" s="5" t="s">
        <v>364</v>
      </c>
      <c r="C182" s="5" t="s">
        <v>365</v>
      </c>
      <c r="D182" s="5" t="str">
        <f>IFERROR(__xludf.DUMMYFUNCTION("GOOGLETRANSLATE(C182, ""en"", ""vi"")"),"Để gia nhập một số ngành nghề, bạn cần có bằng đại học.")</f>
        <v>Để gia nhập một số ngành nghề, bạn cần có bằng đại học.</v>
      </c>
    </row>
    <row r="183" ht="15.75" customHeight="1" spans="1:4">
      <c r="A183" s="4">
        <v>182</v>
      </c>
      <c r="B183" s="5" t="s">
        <v>366</v>
      </c>
      <c r="C183" s="5" t="s">
        <v>367</v>
      </c>
      <c r="D183" s="5" t="str">
        <f>IFERROR(__xludf.DUMMYFUNCTION("GOOGLETRANSLATE(C183, ""en"", ""vi"")"),"Sinh viên được khuyến khích tự theo dõi việc học của mình.")</f>
        <v>Sinh viên được khuyến khích tự theo dõi việc học của mình.</v>
      </c>
    </row>
    <row r="184" ht="15.75" customHeight="1" spans="1:4">
      <c r="A184" s="4">
        <v>183</v>
      </c>
      <c r="B184" s="5" t="s">
        <v>368</v>
      </c>
      <c r="C184" s="5" t="s">
        <v>369</v>
      </c>
      <c r="D184" s="5" t="str">
        <f>IFERROR(__xludf.DUMMYFUNCTION("GOOGLETRANSLATE(C184, ""en"", ""vi"")"),"Bạn có thể tìm thấy mẫu đơn phức tạp trên trang web.")</f>
        <v>Bạn có thể tìm thấy mẫu đơn phức tạp trên trang web.</v>
      </c>
    </row>
    <row r="185" ht="15.75" customHeight="1" spans="1:4">
      <c r="A185" s="4">
        <v>184</v>
      </c>
      <c r="B185" s="5" t="s">
        <v>370</v>
      </c>
      <c r="C185" s="5" t="s">
        <v>371</v>
      </c>
      <c r="D185" s="5" t="str">
        <f>IFERROR(__xludf.DUMMYFUNCTION("GOOGLETRANSLATE(C185, ""en"", ""vi"")"),"Các trường đại học cần đảm bảo nguồn kinh phí nghiên cứu cho các dự án.")</f>
        <v>Các trường đại học cần đảm bảo nguồn kinh phí nghiên cứu cho các dự án.</v>
      </c>
    </row>
    <row r="186" ht="15.75" customHeight="1" spans="1:4">
      <c r="A186" s="4">
        <v>185</v>
      </c>
      <c r="B186" s="5" t="s">
        <v>372</v>
      </c>
      <c r="C186" s="5" t="s">
        <v>373</v>
      </c>
      <c r="D186" s="5" t="str">
        <f>IFERROR(__xludf.DUMMYFUNCTION("GOOGLETRANSLATE(C186, ""en"", ""vi"")"),"Giáo sư sẽ có một bài giảng trong lớp.")</f>
        <v>Giáo sư sẽ có một bài giảng trong lớp.</v>
      </c>
    </row>
    <row r="187" ht="15.75" customHeight="1" spans="1:4">
      <c r="A187" s="4">
        <v>186</v>
      </c>
      <c r="B187" s="5" t="s">
        <v>374</v>
      </c>
      <c r="C187" s="5" t="s">
        <v>375</v>
      </c>
      <c r="D187" s="5" t="str">
        <f>IFERROR(__xludf.DUMMYFUNCTION("GOOGLETRANSLATE(C187, ""en"", ""vi"")"),"Bạn cần đặt những cuốn sách đó lên bàn ở đằng kia.")</f>
        <v>Bạn cần đặt những cuốn sách đó lên bàn ở đằng kia.</v>
      </c>
    </row>
    <row r="188" ht="15.75" customHeight="1" spans="1:4">
      <c r="A188" s="4">
        <v>187</v>
      </c>
      <c r="B188" s="5" t="s">
        <v>376</v>
      </c>
      <c r="C188" s="5" t="s">
        <v>377</v>
      </c>
      <c r="D188" s="5" t="str">
        <f>IFERROR(__xludf.DUMMYFUNCTION("GOOGLETRANSLATE(C188, ""en"", ""vi"")"),"Các hòn đảo ở vùng cực là địa điểm lý tưởng để các nhà vật lý thiên văn và khí tượng học tiến hành các thí nghiệm thực địa.")</f>
        <v>Các hòn đảo ở vùng cực là địa điểm lý tưởng để các nhà vật lý thiên văn và khí tượng học tiến hành các thí nghiệm thực địa.</v>
      </c>
    </row>
    <row r="189" ht="15.75" customHeight="1" spans="1:4">
      <c r="A189" s="4">
        <v>188</v>
      </c>
      <c r="B189" s="5" t="s">
        <v>378</v>
      </c>
      <c r="C189" s="5" t="s">
        <v>379</v>
      </c>
      <c r="D189" s="5" t="str">
        <f>IFERROR(__xludf.DUMMYFUNCTION("GOOGLETRANSLATE(C189, ""en"", ""vi"")"),"Khu vực này có rất nhiều môi trường sống và loài sinh vật dưới nước đa dạng.")</f>
        <v>Khu vực này có rất nhiều môi trường sống và loài sinh vật dưới nước đa dạng.</v>
      </c>
    </row>
    <row r="190" ht="15.75" customHeight="1" spans="1:4">
      <c r="A190" s="4">
        <v>189</v>
      </c>
      <c r="B190" s="5" t="s">
        <v>380</v>
      </c>
      <c r="C190" s="5" t="s">
        <v>381</v>
      </c>
      <c r="D190" s="5" t="str">
        <f>IFERROR(__xludf.DUMMYFUNCTION("GOOGLETRANSLATE(C190, ""en"", ""vi"")"),"Thiết kế của cô ấy kết hợp những khía cạnh tốt nhất của kiến ​​trúc.")</f>
        <v>Thiết kế của cô ấy kết hợp những khía cạnh tốt nhất của kiến ​​trúc.</v>
      </c>
    </row>
    <row r="191" ht="15.75" customHeight="1" spans="1:4">
      <c r="A191" s="4">
        <v>190</v>
      </c>
      <c r="B191" s="5" t="s">
        <v>382</v>
      </c>
      <c r="C191" s="5" t="s">
        <v>383</v>
      </c>
      <c r="D191" s="5" t="str">
        <f>IFERROR(__xludf.DUMMYFUNCTION("GOOGLETRANSLATE(C191, ""en"", ""vi"")"),"Khoản đầu tư này sẽ được dành để cải thiện cơ sở hạ tầng giao thông.")</f>
        <v>Khoản đầu tư này sẽ được dành để cải thiện cơ sở hạ tầng giao thông.</v>
      </c>
    </row>
    <row r="192" ht="15.75" customHeight="1" spans="1:4">
      <c r="A192" s="4">
        <v>191</v>
      </c>
      <c r="B192" s="5" t="s">
        <v>384</v>
      </c>
      <c r="C192" s="5" t="s">
        <v>385</v>
      </c>
      <c r="D192" s="5" t="str">
        <f>IFERROR(__xludf.DUMMYFUNCTION("GOOGLETRANSLATE(C192, ""en"", ""vi"")"),"Sinh viên phải đeo kính bảo hộ trong tất cả các phòng thí nghiệm của trường đại học.")</f>
        <v>Sinh viên phải đeo kính bảo hộ trong tất cả các phòng thí nghiệm của trường đại học.</v>
      </c>
    </row>
    <row r="193" ht="15.75" customHeight="1" spans="1:4">
      <c r="A193" s="4">
        <v>192</v>
      </c>
      <c r="B193" s="5" t="s">
        <v>386</v>
      </c>
      <c r="C193" s="5" t="s">
        <v>387</v>
      </c>
      <c r="D193" s="5" t="str">
        <f>IFERROR(__xludf.DUMMYFUNCTION("GOOGLETRANSLATE(C193, ""en"", ""vi"")"),"Sự khéo léo là khả năng đưa ra quan điểm mà không gây thù chuốc oán.")</f>
        <v>Sự khéo léo là khả năng đưa ra quan điểm mà không gây thù chuốc oán.</v>
      </c>
    </row>
    <row r="194" ht="15.75" customHeight="1" spans="1:4">
      <c r="A194" s="4">
        <v>193</v>
      </c>
      <c r="B194" s="5" t="s">
        <v>388</v>
      </c>
      <c r="C194" s="5" t="s">
        <v>389</v>
      </c>
      <c r="D194" s="5" t="str">
        <f>IFERROR(__xludf.DUMMYFUNCTION("GOOGLETRANSLATE(C194, ""en"", ""vi"")"),"Rõ ràng là các biểu cảm khuôn mặt khá giống nhau giữa các nền văn hóa khác nhau.")</f>
        <v>Rõ ràng là các biểu cảm khuôn mặt khá giống nhau giữa các nền văn hóa khác nhau.</v>
      </c>
    </row>
    <row r="195" ht="15.75" customHeight="1" spans="1:4">
      <c r="A195" s="6"/>
    </row>
    <row r="196" ht="15.75" customHeight="1" spans="1:4">
      <c r="A196" s="6"/>
    </row>
    <row r="197" ht="15.75" customHeight="1" spans="1:4">
      <c r="A197" s="6"/>
    </row>
    <row r="198" ht="15.75" customHeight="1" spans="1:4">
      <c r="A198" s="6"/>
    </row>
    <row r="199" ht="15.75" customHeight="1" spans="1:4">
      <c r="A199" s="6"/>
    </row>
    <row r="200" ht="15.75" customHeight="1" spans="1:4">
      <c r="A200" s="6"/>
    </row>
    <row r="201" ht="15.75" customHeight="1" spans="1:4">
      <c r="A201" s="6"/>
    </row>
    <row r="202" ht="15.75" customHeight="1" spans="1:4">
      <c r="A202" s="6"/>
    </row>
    <row r="203" ht="15.75" customHeight="1" spans="1:4">
      <c r="A203" s="6"/>
    </row>
    <row r="204" ht="15.75" customHeight="1" spans="1:4">
      <c r="A204" s="6"/>
    </row>
    <row r="205" ht="15.75" customHeight="1" spans="1:4">
      <c r="A205" s="6"/>
    </row>
    <row r="206" ht="15.75" customHeight="1" spans="1:4">
      <c r="A206" s="6"/>
    </row>
    <row r="207" ht="15.75" customHeight="1" spans="1:4">
      <c r="A207" s="6"/>
    </row>
    <row r="208" ht="15.75" customHeight="1" spans="1:4">
      <c r="A208" s="6"/>
    </row>
    <row r="209" ht="15.75" customHeight="1" spans="1:1">
      <c r="A209" s="6"/>
    </row>
    <row r="210" ht="15.75" customHeight="1" spans="1:1">
      <c r="A210" s="6"/>
    </row>
    <row r="211" ht="15.75" customHeight="1" spans="1:1">
      <c r="A211" s="6"/>
    </row>
    <row r="212" ht="15.75" customHeight="1" spans="1:1">
      <c r="A212" s="6"/>
    </row>
    <row r="213" ht="15.75" customHeight="1" spans="1:1">
      <c r="A213" s="6"/>
    </row>
    <row r="214" ht="15.75" customHeight="1" spans="1:1">
      <c r="A214" s="6"/>
    </row>
    <row r="215" ht="15.75" customHeight="1" spans="1:1">
      <c r="A215" s="6"/>
    </row>
    <row r="216" ht="15.75" customHeight="1" spans="1:1">
      <c r="A216" s="6"/>
    </row>
    <row r="217" ht="15.75" customHeight="1" spans="1:1">
      <c r="A217" s="6"/>
    </row>
    <row r="218" ht="15.75" customHeight="1" spans="1:1">
      <c r="A218" s="6"/>
    </row>
    <row r="219" ht="15.75" customHeight="1" spans="1:1">
      <c r="A219" s="6"/>
    </row>
    <row r="220" ht="15.75" customHeight="1" spans="1:1">
      <c r="A220" s="6"/>
    </row>
    <row r="221" ht="15.75" customHeight="1" spans="1:1">
      <c r="A221" s="6"/>
    </row>
    <row r="222" ht="15.75" customHeight="1" spans="1:1">
      <c r="A222" s="6"/>
    </row>
    <row r="223" ht="15.75" customHeight="1" spans="1:1">
      <c r="A223" s="6"/>
    </row>
    <row r="224" ht="15.75" customHeight="1" spans="1:1">
      <c r="A224" s="6"/>
    </row>
    <row r="225" ht="15.75" customHeight="1" spans="1:1">
      <c r="A225" s="6"/>
    </row>
    <row r="226" ht="15.75" customHeight="1" spans="1:1">
      <c r="A226" s="6"/>
    </row>
    <row r="227" ht="15.75" customHeight="1" spans="1:1">
      <c r="A227" s="6"/>
    </row>
    <row r="228" ht="15.75" customHeight="1" spans="1:1">
      <c r="A228" s="6"/>
    </row>
    <row r="229" ht="15.75" customHeight="1" spans="1:1">
      <c r="A229" s="6"/>
    </row>
    <row r="230" ht="15.75" customHeight="1" spans="1:1">
      <c r="A230" s="6"/>
    </row>
    <row r="231" ht="15.75" customHeight="1" spans="1:1">
      <c r="A231" s="6"/>
    </row>
    <row r="232" ht="15.75" customHeight="1" spans="1:1">
      <c r="A232" s="6"/>
    </row>
    <row r="233" ht="15.75" customHeight="1" spans="1:1">
      <c r="A233" s="6"/>
    </row>
    <row r="234" ht="15.75" customHeight="1" spans="1:1">
      <c r="A234" s="6"/>
    </row>
    <row r="235" ht="15.75" customHeight="1" spans="1:1">
      <c r="A235" s="6"/>
    </row>
    <row r="236" ht="15.75" customHeight="1" spans="1:1">
      <c r="A236" s="6"/>
    </row>
    <row r="237" ht="15.75" customHeight="1" spans="1:1">
      <c r="A237" s="6"/>
    </row>
    <row r="238" ht="15.75" customHeight="1" spans="1:1">
      <c r="A238" s="6"/>
    </row>
    <row r="239" ht="15.75" customHeight="1" spans="1:1">
      <c r="A239" s="6"/>
    </row>
    <row r="240" ht="15.75" customHeight="1" spans="1:1">
      <c r="A240" s="6"/>
    </row>
    <row r="241" ht="15.75" customHeight="1" spans="1:1">
      <c r="A241" s="6"/>
    </row>
    <row r="242" ht="15.75" customHeight="1" spans="1:1">
      <c r="A242" s="6"/>
    </row>
    <row r="243" ht="15.75" customHeight="1" spans="1:1">
      <c r="A243" s="6"/>
    </row>
    <row r="244" ht="15.75" customHeight="1" spans="1:1">
      <c r="A244" s="6"/>
    </row>
    <row r="245" ht="15.75" customHeight="1" spans="1:1">
      <c r="A245" s="6"/>
    </row>
    <row r="246" ht="15.75" customHeight="1" spans="1:1">
      <c r="A246" s="6"/>
    </row>
    <row r="247" ht="15.75" customHeight="1" spans="1:1">
      <c r="A247" s="6"/>
    </row>
    <row r="248" ht="15.75" customHeight="1" spans="1:1">
      <c r="A248" s="6"/>
    </row>
    <row r="249" ht="15.75" customHeight="1" spans="1:1">
      <c r="A249" s="6"/>
    </row>
    <row r="250" ht="15.75" customHeight="1" spans="1:1">
      <c r="A250" s="6"/>
    </row>
    <row r="251" ht="15.75" customHeight="1" spans="1:1">
      <c r="A251" s="6"/>
    </row>
    <row r="252" ht="15.75" customHeight="1" spans="1:1">
      <c r="A252" s="6"/>
    </row>
    <row r="253" ht="15.75" customHeight="1" spans="1:1">
      <c r="A253" s="6"/>
    </row>
    <row r="254" ht="15.75" customHeight="1" spans="1:1">
      <c r="A254" s="6"/>
    </row>
    <row r="255" ht="15.75" customHeight="1" spans="1:1">
      <c r="A255" s="6"/>
    </row>
    <row r="256" ht="15.75" customHeight="1" spans="1:1">
      <c r="A256" s="6"/>
    </row>
    <row r="257" ht="15.75" customHeight="1" spans="1:1">
      <c r="A257" s="6"/>
    </row>
    <row r="258" ht="15.75" customHeight="1" spans="1:1">
      <c r="A258" s="6"/>
    </row>
    <row r="259" ht="15.75" customHeight="1" spans="1:1">
      <c r="A259" s="6"/>
    </row>
    <row r="260" ht="15.75" customHeight="1" spans="1:1">
      <c r="A260" s="6"/>
    </row>
    <row r="261" ht="15.75" customHeight="1" spans="1:1">
      <c r="A261" s="6"/>
    </row>
    <row r="262" ht="15.75" customHeight="1" spans="1:1">
      <c r="A262" s="6"/>
    </row>
    <row r="263" ht="15.75" customHeight="1" spans="1:1">
      <c r="A263" s="6"/>
    </row>
    <row r="264" ht="15.75" customHeight="1" spans="1:1">
      <c r="A264" s="6"/>
    </row>
    <row r="265" ht="15.75" customHeight="1" spans="1:1">
      <c r="A265" s="6"/>
    </row>
    <row r="266" ht="15.75" customHeight="1" spans="1:1">
      <c r="A266" s="6"/>
    </row>
    <row r="267" ht="15.75" customHeight="1" spans="1:1">
      <c r="A267" s="6"/>
    </row>
    <row r="268" ht="15.75" customHeight="1" spans="1:1">
      <c r="A268" s="6"/>
    </row>
    <row r="269" ht="15.75" customHeight="1" spans="1:1">
      <c r="A269" s="6"/>
    </row>
    <row r="270" ht="15.75" customHeight="1" spans="1:1">
      <c r="A270" s="6"/>
    </row>
    <row r="271" ht="15.75" customHeight="1" spans="1:1">
      <c r="A271" s="6"/>
    </row>
    <row r="272" ht="15.75" customHeight="1" spans="1:1">
      <c r="A272" s="6"/>
    </row>
    <row r="273" ht="15.75" customHeight="1" spans="1:1">
      <c r="A273" s="6"/>
    </row>
    <row r="274" ht="15.75" customHeight="1" spans="1:1">
      <c r="A274" s="6"/>
    </row>
    <row r="275" ht="15.75" customHeight="1" spans="1:1">
      <c r="A275" s="6"/>
    </row>
    <row r="276" ht="15.75" customHeight="1" spans="1:1">
      <c r="A276" s="6"/>
    </row>
    <row r="277" ht="15.75" customHeight="1" spans="1:1">
      <c r="A277" s="6"/>
    </row>
    <row r="278" ht="15.75" customHeight="1" spans="1:1">
      <c r="A278" s="6"/>
    </row>
    <row r="279" ht="15.75" customHeight="1" spans="1:1">
      <c r="A279" s="6"/>
    </row>
    <row r="280" ht="15.75" customHeight="1" spans="1:1">
      <c r="A280" s="6"/>
    </row>
    <row r="281" ht="15.75" customHeight="1" spans="1:1">
      <c r="A281" s="6"/>
    </row>
    <row r="282" ht="15.75" customHeight="1" spans="1:1">
      <c r="A282" s="6"/>
    </row>
    <row r="283" ht="15.75" customHeight="1" spans="1:1">
      <c r="A283" s="6"/>
    </row>
    <row r="284" ht="15.75" customHeight="1" spans="1:1">
      <c r="A284" s="6"/>
    </row>
    <row r="285" ht="15.75" customHeight="1" spans="1:1">
      <c r="A285" s="6"/>
    </row>
    <row r="286" ht="15.75" customHeight="1" spans="1:1">
      <c r="A286" s="6"/>
    </row>
    <row r="287" ht="15.75" customHeight="1" spans="1:1">
      <c r="A287" s="6"/>
    </row>
    <row r="288" ht="15.75" customHeight="1" spans="1:1">
      <c r="A288" s="6"/>
    </row>
    <row r="289" ht="15.75" customHeight="1" spans="1:1">
      <c r="A289" s="6"/>
    </row>
    <row r="290" ht="15.75" customHeight="1" spans="1:1">
      <c r="A290" s="6"/>
    </row>
    <row r="291" ht="15.75" customHeight="1" spans="1:1">
      <c r="A291" s="6"/>
    </row>
    <row r="292" ht="15.75" customHeight="1" spans="1:1">
      <c r="A292" s="6"/>
    </row>
    <row r="293" ht="15.75" customHeight="1" spans="1:1">
      <c r="A293" s="6"/>
    </row>
    <row r="294" ht="15.75" customHeight="1" spans="1:1">
      <c r="A294" s="6"/>
    </row>
    <row r="295" ht="15.75" customHeight="1" spans="1:1">
      <c r="A295" s="6"/>
    </row>
    <row r="296" ht="15.75" customHeight="1" spans="1:1">
      <c r="A296" s="6"/>
    </row>
    <row r="297" ht="15.75" customHeight="1" spans="1:1">
      <c r="A297" s="6"/>
    </row>
    <row r="298" ht="15.75" customHeight="1" spans="1:1">
      <c r="A298" s="6"/>
    </row>
    <row r="299" ht="15.75" customHeight="1" spans="1:1">
      <c r="A299" s="6"/>
    </row>
    <row r="300" ht="15.75" customHeight="1" spans="1:1">
      <c r="A300" s="6"/>
    </row>
    <row r="301" ht="15.75" customHeight="1" spans="1:1">
      <c r="A301" s="6"/>
    </row>
    <row r="302" ht="15.75" customHeight="1" spans="1:1">
      <c r="A302" s="6"/>
    </row>
    <row r="303" ht="15.75" customHeight="1" spans="1:1">
      <c r="A303" s="6"/>
    </row>
    <row r="304" ht="15.75" customHeight="1" spans="1:1">
      <c r="A304" s="6"/>
    </row>
    <row r="305" ht="15.75" customHeight="1" spans="1:1">
      <c r="A305" s="6"/>
    </row>
    <row r="306" ht="15.75" customHeight="1" spans="1:1">
      <c r="A306" s="6"/>
    </row>
    <row r="307" ht="15.75" customHeight="1" spans="1:1">
      <c r="A307" s="6"/>
    </row>
    <row r="308" ht="15.75" customHeight="1" spans="1:1">
      <c r="A308" s="6"/>
    </row>
    <row r="309" ht="15.75" customHeight="1" spans="1:1">
      <c r="A309" s="6"/>
    </row>
    <row r="310" ht="15.75" customHeight="1" spans="1:1">
      <c r="A310" s="6"/>
    </row>
    <row r="311" ht="15.75" customHeight="1" spans="1:1">
      <c r="A311" s="6"/>
    </row>
    <row r="312" ht="15.75" customHeight="1" spans="1:1">
      <c r="A312" s="6"/>
    </row>
    <row r="313" ht="15.75" customHeight="1" spans="1:1">
      <c r="A313" s="6"/>
    </row>
    <row r="314" ht="15.75" customHeight="1" spans="1:1">
      <c r="A314" s="6"/>
    </row>
    <row r="315" ht="15.75" customHeight="1" spans="1:1">
      <c r="A315" s="6"/>
    </row>
    <row r="316" ht="15.75" customHeight="1" spans="1:1">
      <c r="A316" s="6"/>
    </row>
    <row r="317" ht="15.75" customHeight="1" spans="1:1">
      <c r="A317" s="6"/>
    </row>
    <row r="318" ht="15.75" customHeight="1" spans="1:1">
      <c r="A318" s="6"/>
    </row>
    <row r="319" ht="15.75" customHeight="1" spans="1:1">
      <c r="A319" s="6"/>
    </row>
    <row r="320" ht="15.75" customHeight="1" spans="1:1">
      <c r="A320" s="6"/>
    </row>
    <row r="321" ht="15.75" customHeight="1" spans="1:1">
      <c r="A321" s="6"/>
    </row>
    <row r="322" ht="15.75" customHeight="1" spans="1:1">
      <c r="A322" s="6"/>
    </row>
    <row r="323" ht="15.75" customHeight="1" spans="1:1">
      <c r="A323" s="6"/>
    </row>
    <row r="324" ht="15.75" customHeight="1" spans="1:1">
      <c r="A324" s="6"/>
    </row>
    <row r="325" ht="15.75" customHeight="1" spans="1:1">
      <c r="A325" s="6"/>
    </row>
    <row r="326" ht="15.75" customHeight="1" spans="1:1">
      <c r="A326" s="6"/>
    </row>
    <row r="327" ht="15.75" customHeight="1" spans="1:1">
      <c r="A327" s="6"/>
    </row>
    <row r="328" ht="15.75" customHeight="1" spans="1:1">
      <c r="A328" s="6"/>
    </row>
    <row r="329" ht="15.75" customHeight="1" spans="1:1">
      <c r="A329" s="6"/>
    </row>
    <row r="330" ht="15.75" customHeight="1" spans="1:1">
      <c r="A330" s="6"/>
    </row>
    <row r="331" ht="15.75" customHeight="1" spans="1:1">
      <c r="A331" s="6"/>
    </row>
    <row r="332" ht="15.75" customHeight="1" spans="1:1">
      <c r="A332" s="6"/>
    </row>
    <row r="333" ht="15.75" customHeight="1" spans="1:1">
      <c r="A333" s="6"/>
    </row>
    <row r="334" ht="15.75" customHeight="1" spans="1:1">
      <c r="A334" s="6"/>
    </row>
    <row r="335" ht="15.75" customHeight="1" spans="1:1">
      <c r="A335" s="6"/>
    </row>
    <row r="336" ht="15.75" customHeight="1" spans="1:1">
      <c r="A336" s="6"/>
    </row>
    <row r="337" ht="15.75" customHeight="1" spans="1:1">
      <c r="A337" s="6"/>
    </row>
    <row r="338" ht="15.75" customHeight="1" spans="1:1">
      <c r="A338" s="6"/>
    </row>
    <row r="339" ht="15.75" customHeight="1" spans="1:1">
      <c r="A339" s="6"/>
    </row>
    <row r="340" ht="15.75" customHeight="1" spans="1:1">
      <c r="A340" s="6"/>
    </row>
    <row r="341" ht="15.75" customHeight="1" spans="1:1">
      <c r="A341" s="6"/>
    </row>
    <row r="342" ht="15.75" customHeight="1" spans="1:1">
      <c r="A342" s="6"/>
    </row>
    <row r="343" ht="15.75" customHeight="1" spans="1:1">
      <c r="A343" s="6"/>
    </row>
    <row r="344" ht="15.75" customHeight="1" spans="1:1">
      <c r="A344" s="6"/>
    </row>
    <row r="345" ht="15.75" customHeight="1" spans="1:1">
      <c r="A345" s="6"/>
    </row>
    <row r="346" ht="15.75" customHeight="1" spans="1:1">
      <c r="A346" s="6"/>
    </row>
    <row r="347" ht="15.75" customHeight="1" spans="1:1">
      <c r="A347" s="6"/>
    </row>
    <row r="348" ht="15.75" customHeight="1" spans="1:1">
      <c r="A348" s="6"/>
    </row>
    <row r="349" ht="15.75" customHeight="1" spans="1:1">
      <c r="A349" s="6"/>
    </row>
    <row r="350" ht="15.75" customHeight="1" spans="1:1">
      <c r="A350" s="6"/>
    </row>
    <row r="351" ht="15.75" customHeight="1" spans="1:1">
      <c r="A351" s="6"/>
    </row>
    <row r="352" ht="15.75" customHeight="1" spans="1:1">
      <c r="A352" s="6"/>
    </row>
    <row r="353" ht="15.75" customHeight="1" spans="1:1">
      <c r="A353" s="6"/>
    </row>
    <row r="354" ht="15.75" customHeight="1" spans="1:1">
      <c r="A354" s="6"/>
    </row>
    <row r="355" ht="15.75" customHeight="1" spans="1:1">
      <c r="A355" s="6"/>
    </row>
    <row r="356" ht="15.75" customHeight="1" spans="1:1">
      <c r="A356" s="6"/>
    </row>
    <row r="357" ht="15.75" customHeight="1" spans="1:1">
      <c r="A357" s="6"/>
    </row>
    <row r="358" ht="15.75" customHeight="1" spans="1:1">
      <c r="A358" s="6"/>
    </row>
    <row r="359" ht="15.75" customHeight="1" spans="1:1">
      <c r="A359" s="6"/>
    </row>
    <row r="360" ht="15.75" customHeight="1" spans="1:1">
      <c r="A360" s="6"/>
    </row>
    <row r="361" ht="15.75" customHeight="1" spans="1:1">
      <c r="A361" s="6"/>
    </row>
    <row r="362" ht="15.75" customHeight="1" spans="1:1">
      <c r="A362" s="6"/>
    </row>
    <row r="363" ht="15.75" customHeight="1" spans="1:1">
      <c r="A363" s="6"/>
    </row>
    <row r="364" ht="15.75" customHeight="1" spans="1:1">
      <c r="A364" s="6"/>
    </row>
    <row r="365" ht="15.75" customHeight="1" spans="1:1">
      <c r="A365" s="6"/>
    </row>
    <row r="366" ht="15.75" customHeight="1" spans="1:1">
      <c r="A366" s="6"/>
    </row>
    <row r="367" ht="15.75" customHeight="1" spans="1:1">
      <c r="A367" s="6"/>
    </row>
    <row r="368" ht="15.75" customHeight="1" spans="1:1">
      <c r="A368" s="6"/>
    </row>
    <row r="369" ht="15.75" customHeight="1" spans="1:1">
      <c r="A369" s="6"/>
    </row>
    <row r="370" ht="15.75" customHeight="1" spans="1:1">
      <c r="A370" s="6"/>
    </row>
    <row r="371" ht="15.75" customHeight="1" spans="1:1">
      <c r="A371" s="6"/>
    </row>
    <row r="372" ht="15.75" customHeight="1" spans="1:1">
      <c r="A372" s="6"/>
    </row>
    <row r="373" ht="15.75" customHeight="1" spans="1:1">
      <c r="A373" s="6"/>
    </row>
    <row r="374" ht="15.75" customHeight="1" spans="1:1">
      <c r="A374" s="6"/>
    </row>
    <row r="375" ht="15.75" customHeight="1" spans="1:1">
      <c r="A375" s="6"/>
    </row>
    <row r="376" ht="15.75" customHeight="1" spans="1:1">
      <c r="A376" s="6"/>
    </row>
    <row r="377" ht="15.75" customHeight="1" spans="1:1">
      <c r="A377" s="6"/>
    </row>
    <row r="378" ht="15.75" customHeight="1" spans="1:1">
      <c r="A378" s="6"/>
    </row>
    <row r="379" ht="15.75" customHeight="1" spans="1:1">
      <c r="A379" s="6"/>
    </row>
    <row r="380" ht="15.75" customHeight="1" spans="1:1">
      <c r="A380" s="6"/>
    </row>
    <row r="381" ht="15.75" customHeight="1" spans="1:1">
      <c r="A381" s="6"/>
    </row>
    <row r="382" ht="15.75" customHeight="1" spans="1:1">
      <c r="A382" s="6"/>
    </row>
    <row r="383" ht="15.75" customHeight="1" spans="1:1">
      <c r="A383" s="6"/>
    </row>
    <row r="384" ht="15.75" customHeight="1" spans="1:1">
      <c r="A384" s="6"/>
    </row>
    <row r="385" ht="15.75" customHeight="1" spans="1:1">
      <c r="A385" s="6"/>
    </row>
    <row r="386" ht="15.75" customHeight="1" spans="1:1">
      <c r="A386" s="6"/>
    </row>
    <row r="387" ht="15.75" customHeight="1" spans="1:1">
      <c r="A387" s="6"/>
    </row>
    <row r="388" ht="15.75" customHeight="1" spans="1:1">
      <c r="A388" s="6"/>
    </row>
    <row r="389" ht="15.75" customHeight="1" spans="1:1">
      <c r="A389" s="6"/>
    </row>
    <row r="390" ht="15.75" customHeight="1" spans="1:1">
      <c r="A390" s="6"/>
    </row>
    <row r="391" ht="15.75" customHeight="1" spans="1:1">
      <c r="A391" s="6"/>
    </row>
    <row r="392" ht="15.75" customHeight="1" spans="1:1">
      <c r="A392" s="6"/>
    </row>
    <row r="393" ht="15.75" customHeight="1" spans="1:1">
      <c r="A393" s="6"/>
    </row>
    <row r="394" ht="15.75" customHeight="1" spans="1:1">
      <c r="A394" s="6"/>
    </row>
    <row r="395" ht="15.75" customHeight="1" spans="1:1">
      <c r="A395" s="6"/>
    </row>
    <row r="396" ht="15.75" customHeight="1" spans="1:1">
      <c r="A396" s="6"/>
    </row>
    <row r="397" ht="15.75" customHeight="1" spans="1:1">
      <c r="A397" s="6"/>
    </row>
    <row r="398" ht="15.75" customHeight="1" spans="1:1">
      <c r="A398" s="6"/>
    </row>
    <row r="399" ht="15.75" customHeight="1" spans="1:1">
      <c r="A399" s="6"/>
    </row>
    <row r="400" ht="15.75" customHeight="1" spans="1:1">
      <c r="A400" s="6"/>
    </row>
    <row r="401" ht="15.75" customHeight="1" spans="1:1">
      <c r="A401" s="6"/>
    </row>
    <row r="402" ht="15.75" customHeight="1" spans="1:1">
      <c r="A402" s="6"/>
    </row>
    <row r="403" ht="15.75" customHeight="1" spans="1:1">
      <c r="A403" s="6"/>
    </row>
    <row r="404" ht="15.75" customHeight="1" spans="1:1">
      <c r="A404" s="6"/>
    </row>
    <row r="405" ht="15.75" customHeight="1" spans="1:1">
      <c r="A405" s="6"/>
    </row>
    <row r="406" ht="15.75" customHeight="1" spans="1:1">
      <c r="A406" s="6"/>
    </row>
    <row r="407" ht="15.75" customHeight="1" spans="1:1">
      <c r="A407" s="6"/>
    </row>
    <row r="408" ht="15.75" customHeight="1" spans="1:1">
      <c r="A408" s="6"/>
    </row>
    <row r="409" ht="15.75" customHeight="1" spans="1:1">
      <c r="A409" s="6"/>
    </row>
    <row r="410" ht="15.75" customHeight="1" spans="1:1">
      <c r="A410" s="6"/>
    </row>
    <row r="411" ht="15.75" customHeight="1" spans="1:1">
      <c r="A411" s="6"/>
    </row>
    <row r="412" ht="15.75" customHeight="1" spans="1:1">
      <c r="A412" s="6"/>
    </row>
    <row r="413" ht="15.75" customHeight="1" spans="1:1">
      <c r="A413" s="6"/>
    </row>
    <row r="414" ht="15.75" customHeight="1" spans="1:1">
      <c r="A414" s="6"/>
    </row>
    <row r="415" ht="15.75" customHeight="1" spans="1:1">
      <c r="A415" s="6"/>
    </row>
    <row r="416" ht="15.75" customHeight="1" spans="1:1">
      <c r="A416" s="6"/>
    </row>
    <row r="417" ht="15.75" customHeight="1" spans="1:1">
      <c r="A417" s="6"/>
    </row>
    <row r="418" ht="15.75" customHeight="1" spans="1:1">
      <c r="A418" s="6"/>
    </row>
    <row r="419" ht="15.75" customHeight="1" spans="1:1">
      <c r="A419" s="6"/>
    </row>
    <row r="420" ht="15.75" customHeight="1" spans="1:1">
      <c r="A420" s="6"/>
    </row>
    <row r="421" ht="15.75" customHeight="1" spans="1:1">
      <c r="A421" s="6"/>
    </row>
    <row r="422" ht="15.75" customHeight="1" spans="1:1">
      <c r="A422" s="6"/>
    </row>
    <row r="423" ht="15.75" customHeight="1" spans="1:1">
      <c r="A423" s="6"/>
    </row>
    <row r="424" ht="15.75" customHeight="1" spans="1:1">
      <c r="A424" s="6"/>
    </row>
    <row r="425" ht="15.75" customHeight="1" spans="1:1">
      <c r="A425" s="6"/>
    </row>
    <row r="426" ht="15.75" customHeight="1" spans="1:1">
      <c r="A426" s="6"/>
    </row>
    <row r="427" ht="15.75" customHeight="1" spans="1:1">
      <c r="A427" s="6"/>
    </row>
    <row r="428" ht="15.75" customHeight="1" spans="1:1">
      <c r="A428" s="6"/>
    </row>
    <row r="429" ht="15.75" customHeight="1" spans="1:1">
      <c r="A429" s="6"/>
    </row>
    <row r="430" ht="15.75" customHeight="1" spans="1:1">
      <c r="A430" s="6"/>
    </row>
    <row r="431" ht="15.75" customHeight="1" spans="1:1">
      <c r="A431" s="6"/>
    </row>
    <row r="432" ht="15.75" customHeight="1" spans="1:1">
      <c r="A432" s="6"/>
    </row>
    <row r="433" ht="15.75" customHeight="1" spans="1:1">
      <c r="A433" s="6"/>
    </row>
    <row r="434" ht="15.75" customHeight="1" spans="1:1">
      <c r="A434" s="6"/>
    </row>
    <row r="435" ht="15.75" customHeight="1" spans="1:1">
      <c r="A435" s="6"/>
    </row>
    <row r="436" ht="15.75" customHeight="1" spans="1:1">
      <c r="A436" s="6"/>
    </row>
    <row r="437" ht="15.75" customHeight="1" spans="1:1">
      <c r="A437" s="6"/>
    </row>
    <row r="438" ht="15.75" customHeight="1" spans="1:1">
      <c r="A438" s="6"/>
    </row>
    <row r="439" ht="15.75" customHeight="1" spans="1:1">
      <c r="A439" s="6"/>
    </row>
    <row r="440" ht="15.75" customHeight="1" spans="1:1">
      <c r="A440" s="6"/>
    </row>
    <row r="441" ht="15.75" customHeight="1" spans="1:1">
      <c r="A441" s="6"/>
    </row>
    <row r="442" ht="15.75" customHeight="1" spans="1:1">
      <c r="A442" s="6"/>
    </row>
    <row r="443" ht="15.75" customHeight="1" spans="1:1">
      <c r="A443" s="6"/>
    </row>
    <row r="444" ht="15.75" customHeight="1" spans="1:1">
      <c r="A444" s="6"/>
    </row>
    <row r="445" ht="15.75" customHeight="1" spans="1:1">
      <c r="A445" s="6"/>
    </row>
    <row r="446" ht="15.75" customHeight="1" spans="1:1">
      <c r="A446" s="6"/>
    </row>
    <row r="447" ht="15.75" customHeight="1" spans="1:1">
      <c r="A447" s="6"/>
    </row>
    <row r="448" ht="15.75" customHeight="1" spans="1:1">
      <c r="A448" s="6"/>
    </row>
    <row r="449" ht="15.75" customHeight="1" spans="1:1">
      <c r="A449" s="6"/>
    </row>
    <row r="450" ht="15.75" customHeight="1" spans="1:1">
      <c r="A450" s="6"/>
    </row>
    <row r="451" ht="15.75" customHeight="1" spans="1:1">
      <c r="A451" s="6"/>
    </row>
    <row r="452" ht="15.75" customHeight="1" spans="1:1">
      <c r="A452" s="6"/>
    </row>
    <row r="453" ht="15.75" customHeight="1" spans="1:1">
      <c r="A453" s="6"/>
    </row>
    <row r="454" ht="15.75" customHeight="1" spans="1:1">
      <c r="A454" s="6"/>
    </row>
    <row r="455" ht="15.75" customHeight="1" spans="1:1">
      <c r="A455" s="6"/>
    </row>
    <row r="456" ht="15.75" customHeight="1" spans="1:1">
      <c r="A456" s="6"/>
    </row>
    <row r="457" ht="15.75" customHeight="1" spans="1:1">
      <c r="A457" s="6"/>
    </row>
    <row r="458" ht="15.75" customHeight="1" spans="1:1">
      <c r="A458" s="6"/>
    </row>
    <row r="459" ht="15.75" customHeight="1" spans="1:1">
      <c r="A459" s="6"/>
    </row>
    <row r="460" ht="15.75" customHeight="1" spans="1:1">
      <c r="A460" s="6"/>
    </row>
    <row r="461" ht="15.75" customHeight="1" spans="1:1">
      <c r="A461" s="6"/>
    </row>
    <row r="462" ht="15.75" customHeight="1" spans="1:1">
      <c r="A462" s="6"/>
    </row>
    <row r="463" ht="15.75" customHeight="1" spans="1:1">
      <c r="A463" s="6"/>
    </row>
    <row r="464" ht="15.75" customHeight="1" spans="1:1">
      <c r="A464" s="6"/>
    </row>
    <row r="465" ht="15.75" customHeight="1" spans="1:1">
      <c r="A465" s="6"/>
    </row>
    <row r="466" ht="15.75" customHeight="1" spans="1:1">
      <c r="A466" s="6"/>
    </row>
    <row r="467" ht="15.75" customHeight="1" spans="1:1">
      <c r="A467" s="6"/>
    </row>
    <row r="468" ht="15.75" customHeight="1" spans="1:1">
      <c r="A468" s="6"/>
    </row>
    <row r="469" ht="15.75" customHeight="1" spans="1:1">
      <c r="A469" s="6"/>
    </row>
    <row r="470" ht="15.75" customHeight="1" spans="1:1">
      <c r="A470" s="6"/>
    </row>
    <row r="471" ht="15.75" customHeight="1" spans="1:1">
      <c r="A471" s="6"/>
    </row>
    <row r="472" ht="15.75" customHeight="1" spans="1:1">
      <c r="A472" s="6"/>
    </row>
    <row r="473" ht="15.75" customHeight="1" spans="1:1">
      <c r="A473" s="6"/>
    </row>
    <row r="474" ht="15.75" customHeight="1" spans="1:1">
      <c r="A474" s="6"/>
    </row>
    <row r="475" ht="15.75" customHeight="1" spans="1:1">
      <c r="A475" s="6"/>
    </row>
    <row r="476" ht="15.75" customHeight="1" spans="1:1">
      <c r="A476" s="6"/>
    </row>
    <row r="477" ht="15.75" customHeight="1" spans="1:1">
      <c r="A477" s="6"/>
    </row>
    <row r="478" ht="15.75" customHeight="1" spans="1:1">
      <c r="A478" s="6"/>
    </row>
    <row r="479" ht="15.75" customHeight="1" spans="1:1">
      <c r="A479" s="6"/>
    </row>
    <row r="480" ht="15.75" customHeight="1" spans="1:1">
      <c r="A480" s="6"/>
    </row>
    <row r="481" ht="15.75" customHeight="1" spans="1:1">
      <c r="A481" s="6"/>
    </row>
    <row r="482" ht="15.75" customHeight="1" spans="1:1">
      <c r="A482" s="6"/>
    </row>
    <row r="483" ht="15.75" customHeight="1" spans="1:1">
      <c r="A483" s="6"/>
    </row>
    <row r="484" ht="15.75" customHeight="1" spans="1:1">
      <c r="A484" s="6"/>
    </row>
    <row r="485" ht="15.75" customHeight="1" spans="1:1">
      <c r="A485" s="6"/>
    </row>
    <row r="486" ht="15.75" customHeight="1" spans="1:1">
      <c r="A486" s="6"/>
    </row>
    <row r="487" ht="15.75" customHeight="1" spans="1:1">
      <c r="A487" s="6"/>
    </row>
    <row r="488" ht="15.75" customHeight="1" spans="1:1">
      <c r="A488" s="6"/>
    </row>
    <row r="489" ht="15.75" customHeight="1" spans="1:1">
      <c r="A489" s="6"/>
    </row>
    <row r="490" ht="15.75" customHeight="1" spans="1:1">
      <c r="A490" s="6"/>
    </row>
    <row r="491" ht="15.75" customHeight="1" spans="1:1">
      <c r="A491" s="6"/>
    </row>
    <row r="492" ht="15.75" customHeight="1" spans="1:1">
      <c r="A492" s="6"/>
    </row>
    <row r="493" ht="15.75" customHeight="1" spans="1:1">
      <c r="A493" s="6"/>
    </row>
    <row r="494" ht="15.75" customHeight="1" spans="1:1">
      <c r="A494" s="6"/>
    </row>
    <row r="495" ht="15.75" customHeight="1" spans="1:1">
      <c r="A495" s="6"/>
    </row>
    <row r="496" ht="15.75" customHeight="1" spans="1:1">
      <c r="A496" s="6"/>
    </row>
    <row r="497" ht="15.75" customHeight="1" spans="1:1">
      <c r="A497" s="6"/>
    </row>
    <row r="498" ht="15.75" customHeight="1" spans="1:1">
      <c r="A498" s="6"/>
    </row>
    <row r="499" ht="15.75" customHeight="1" spans="1:1">
      <c r="A499" s="6"/>
    </row>
    <row r="500" ht="15.75" customHeight="1" spans="1:1">
      <c r="A500" s="6"/>
    </row>
    <row r="501" ht="15.75" customHeight="1" spans="1:1">
      <c r="A501" s="6"/>
    </row>
    <row r="502" ht="15.75" customHeight="1" spans="1:1">
      <c r="A502" s="6"/>
    </row>
    <row r="503" ht="15.75" customHeight="1" spans="1:1">
      <c r="A503" s="6"/>
    </row>
    <row r="504" ht="15.75" customHeight="1" spans="1:1">
      <c r="A504" s="6"/>
    </row>
    <row r="505" ht="15.75" customHeight="1" spans="1:1">
      <c r="A505" s="6"/>
    </row>
    <row r="506" ht="15.75" customHeight="1" spans="1:1">
      <c r="A506" s="6"/>
    </row>
    <row r="507" ht="15.75" customHeight="1" spans="1:1">
      <c r="A507" s="6"/>
    </row>
    <row r="508" ht="15.75" customHeight="1" spans="1:1">
      <c r="A508" s="6"/>
    </row>
    <row r="509" ht="15.75" customHeight="1" spans="1:1">
      <c r="A509" s="6"/>
    </row>
    <row r="510" ht="15.75" customHeight="1" spans="1:1">
      <c r="A510" s="6"/>
    </row>
    <row r="511" ht="15.75" customHeight="1" spans="1:1">
      <c r="A511" s="6"/>
    </row>
    <row r="512" ht="15.75" customHeight="1" spans="1:1">
      <c r="A512" s="6"/>
    </row>
    <row r="513" ht="15.75" customHeight="1" spans="1:1">
      <c r="A513" s="6"/>
    </row>
    <row r="514" ht="15.75" customHeight="1" spans="1:1">
      <c r="A514" s="6"/>
    </row>
    <row r="515" ht="15.75" customHeight="1" spans="1:1">
      <c r="A515" s="6"/>
    </row>
    <row r="516" ht="15.75" customHeight="1" spans="1:1">
      <c r="A516" s="6"/>
    </row>
    <row r="517" ht="15.75" customHeight="1" spans="1:1">
      <c r="A517" s="6"/>
    </row>
    <row r="518" ht="15.75" customHeight="1" spans="1:1">
      <c r="A518" s="6"/>
    </row>
    <row r="519" ht="15.75" customHeight="1" spans="1:1">
      <c r="A519" s="6"/>
    </row>
    <row r="520" ht="15.75" customHeight="1" spans="1:1">
      <c r="A520" s="6"/>
    </row>
    <row r="521" ht="15.75" customHeight="1" spans="1:1">
      <c r="A521" s="6"/>
    </row>
    <row r="522" ht="15.75" customHeight="1" spans="1:1">
      <c r="A522" s="6"/>
    </row>
    <row r="523" ht="15.75" customHeight="1" spans="1:1">
      <c r="A523" s="6"/>
    </row>
    <row r="524" ht="15.75" customHeight="1" spans="1:1">
      <c r="A524" s="6"/>
    </row>
    <row r="525" ht="15.75" customHeight="1" spans="1:1">
      <c r="A525" s="6"/>
    </row>
    <row r="526" ht="15.75" customHeight="1" spans="1:1">
      <c r="A526" s="6"/>
    </row>
    <row r="527" ht="15.75" customHeight="1" spans="1:1">
      <c r="A527" s="6"/>
    </row>
    <row r="528" ht="15.75" customHeight="1" spans="1:1">
      <c r="A528" s="6"/>
    </row>
    <row r="529" ht="15.75" customHeight="1" spans="1:1">
      <c r="A529" s="6"/>
    </row>
    <row r="530" ht="15.75" customHeight="1" spans="1:1">
      <c r="A530" s="6"/>
    </row>
    <row r="531" ht="15.75" customHeight="1" spans="1:1">
      <c r="A531" s="6"/>
    </row>
    <row r="532" ht="15.75" customHeight="1" spans="1:1">
      <c r="A532" s="6"/>
    </row>
    <row r="533" ht="15.75" customHeight="1" spans="1:1">
      <c r="A533" s="6"/>
    </row>
    <row r="534" ht="15.75" customHeight="1" spans="1:1">
      <c r="A534" s="6"/>
    </row>
    <row r="535" ht="15.75" customHeight="1" spans="1:1">
      <c r="A535" s="6"/>
    </row>
    <row r="536" ht="15.75" customHeight="1" spans="1:1">
      <c r="A536" s="6"/>
    </row>
    <row r="537" ht="15.75" customHeight="1" spans="1:1">
      <c r="A537" s="6"/>
    </row>
    <row r="538" ht="15.75" customHeight="1" spans="1:1">
      <c r="A538" s="6"/>
    </row>
    <row r="539" ht="15.75" customHeight="1" spans="1:1">
      <c r="A539" s="6"/>
    </row>
    <row r="540" ht="15.75" customHeight="1" spans="1:1">
      <c r="A540" s="6"/>
    </row>
    <row r="541" ht="15.75" customHeight="1" spans="1:1">
      <c r="A541" s="6"/>
    </row>
    <row r="542" ht="15.75" customHeight="1" spans="1:1">
      <c r="A542" s="6"/>
    </row>
    <row r="543" ht="15.75" customHeight="1" spans="1:1">
      <c r="A543" s="6"/>
    </row>
    <row r="544" ht="15.75" customHeight="1" spans="1:1">
      <c r="A544" s="6"/>
    </row>
    <row r="545" ht="15.75" customHeight="1" spans="1:1">
      <c r="A545" s="6"/>
    </row>
    <row r="546" ht="15.75" customHeight="1" spans="1:1">
      <c r="A546" s="6"/>
    </row>
    <row r="547" ht="15.75" customHeight="1" spans="1:1">
      <c r="A547" s="6"/>
    </row>
    <row r="548" ht="15.75" customHeight="1" spans="1:1">
      <c r="A548" s="6"/>
    </row>
    <row r="549" ht="15.75" customHeight="1" spans="1:1">
      <c r="A549" s="6"/>
    </row>
    <row r="550" ht="15.75" customHeight="1" spans="1:1">
      <c r="A550" s="6"/>
    </row>
    <row r="551" ht="15.75" customHeight="1" spans="1:1">
      <c r="A551" s="6"/>
    </row>
    <row r="552" ht="15.75" customHeight="1" spans="1:1">
      <c r="A552" s="6"/>
    </row>
    <row r="553" ht="15.75" customHeight="1" spans="1:1">
      <c r="A553" s="6"/>
    </row>
    <row r="554" ht="15.75" customHeight="1" spans="1:1">
      <c r="A554" s="6"/>
    </row>
    <row r="555" ht="15.75" customHeight="1" spans="1:1">
      <c r="A555" s="6"/>
    </row>
    <row r="556" ht="15.75" customHeight="1" spans="1:1">
      <c r="A556" s="6"/>
    </row>
    <row r="557" ht="15.75" customHeight="1" spans="1:1">
      <c r="A557" s="6"/>
    </row>
    <row r="558" ht="15.75" customHeight="1" spans="1:1">
      <c r="A558" s="6"/>
    </row>
    <row r="559" ht="15.75" customHeight="1" spans="1:1">
      <c r="A559" s="6"/>
    </row>
    <row r="560" ht="15.75" customHeight="1" spans="1:1">
      <c r="A560" s="6"/>
    </row>
    <row r="561" ht="15.75" customHeight="1" spans="1:1">
      <c r="A561" s="6"/>
    </row>
    <row r="562" ht="15.75" customHeight="1" spans="1:1">
      <c r="A562" s="6"/>
    </row>
    <row r="563" ht="15.75" customHeight="1" spans="1:1">
      <c r="A563" s="6"/>
    </row>
    <row r="564" ht="15.75" customHeight="1" spans="1:1">
      <c r="A564" s="6"/>
    </row>
    <row r="565" ht="15.75" customHeight="1" spans="1:1">
      <c r="A565" s="6"/>
    </row>
    <row r="566" ht="15.75" customHeight="1" spans="1:1">
      <c r="A566" s="6"/>
    </row>
    <row r="567" ht="15.75" customHeight="1" spans="1:1">
      <c r="A567" s="6"/>
    </row>
    <row r="568" ht="15.75" customHeight="1" spans="1:1">
      <c r="A568" s="6"/>
    </row>
    <row r="569" ht="15.75" customHeight="1" spans="1:1">
      <c r="A569" s="6"/>
    </row>
    <row r="570" ht="15.75" customHeight="1" spans="1:1">
      <c r="A570" s="6"/>
    </row>
    <row r="571" ht="15.75" customHeight="1" spans="1:1">
      <c r="A571" s="6"/>
    </row>
    <row r="572" ht="15.75" customHeight="1" spans="1:1">
      <c r="A572" s="6"/>
    </row>
    <row r="573" ht="15.75" customHeight="1" spans="1:1">
      <c r="A573" s="6"/>
    </row>
    <row r="574" ht="15.75" customHeight="1" spans="1:1">
      <c r="A574" s="6"/>
    </row>
    <row r="575" ht="15.75" customHeight="1" spans="1:1">
      <c r="A575" s="6"/>
    </row>
    <row r="576" ht="15.75" customHeight="1" spans="1:1">
      <c r="A576" s="6"/>
    </row>
    <row r="577" ht="15.75" customHeight="1" spans="1:1">
      <c r="A577" s="6"/>
    </row>
    <row r="578" ht="15.75" customHeight="1" spans="1:1">
      <c r="A578" s="6"/>
    </row>
    <row r="579" ht="15.75" customHeight="1" spans="1:1">
      <c r="A579" s="6"/>
    </row>
    <row r="580" ht="15.75" customHeight="1" spans="1:1">
      <c r="A580" s="6"/>
    </row>
    <row r="581" ht="15.75" customHeight="1" spans="1:1">
      <c r="A581" s="6"/>
    </row>
    <row r="582" ht="15.75" customHeight="1" spans="1:1">
      <c r="A582" s="6"/>
    </row>
    <row r="583" ht="15.75" customHeight="1" spans="1:1">
      <c r="A583" s="6"/>
    </row>
    <row r="584" ht="15.75" customHeight="1" spans="1:1">
      <c r="A584" s="6"/>
    </row>
    <row r="585" ht="15.75" customHeight="1" spans="1:1">
      <c r="A585" s="6"/>
    </row>
    <row r="586" ht="15.75" customHeight="1" spans="1:1">
      <c r="A586" s="6"/>
    </row>
    <row r="587" ht="15.75" customHeight="1" spans="1:1">
      <c r="A587" s="6"/>
    </row>
    <row r="588" ht="15.75" customHeight="1" spans="1:1">
      <c r="A588" s="6"/>
    </row>
    <row r="589" ht="15.75" customHeight="1" spans="1:1">
      <c r="A589" s="6"/>
    </row>
    <row r="590" ht="15.75" customHeight="1" spans="1:1">
      <c r="A590" s="6"/>
    </row>
    <row r="591" ht="15.75" customHeight="1" spans="1:1">
      <c r="A591" s="6"/>
    </row>
    <row r="592" ht="15.75" customHeight="1" spans="1:1">
      <c r="A592" s="6"/>
    </row>
    <row r="593" ht="15.75" customHeight="1" spans="1:1">
      <c r="A593" s="6"/>
    </row>
    <row r="594" ht="15.75" customHeight="1" spans="1:1">
      <c r="A594" s="6"/>
    </row>
    <row r="595" ht="15.75" customHeight="1" spans="1:1">
      <c r="A595" s="6"/>
    </row>
    <row r="596" ht="15.75" customHeight="1" spans="1:1">
      <c r="A596" s="6"/>
    </row>
    <row r="597" ht="15.75" customHeight="1" spans="1:1">
      <c r="A597" s="6"/>
    </row>
    <row r="598" ht="15.75" customHeight="1" spans="1:1">
      <c r="A598" s="6"/>
    </row>
    <row r="599" ht="15.75" customHeight="1" spans="1:1">
      <c r="A599" s="6"/>
    </row>
    <row r="600" ht="15.75" customHeight="1" spans="1:1">
      <c r="A600" s="6"/>
    </row>
    <row r="601" ht="15.75" customHeight="1" spans="1:1">
      <c r="A601" s="6"/>
    </row>
    <row r="602" ht="15.75" customHeight="1" spans="1:1">
      <c r="A602" s="6"/>
    </row>
    <row r="603" ht="15.75" customHeight="1" spans="1:1">
      <c r="A603" s="6"/>
    </row>
    <row r="604" ht="15.75" customHeight="1" spans="1:1">
      <c r="A604" s="6"/>
    </row>
    <row r="605" ht="15.75" customHeight="1" spans="1:1">
      <c r="A605" s="6"/>
    </row>
    <row r="606" ht="15.75" customHeight="1" spans="1:1">
      <c r="A606" s="6"/>
    </row>
    <row r="607" ht="15.75" customHeight="1" spans="1:1">
      <c r="A607" s="6"/>
    </row>
    <row r="608" ht="15.75" customHeight="1" spans="1:1">
      <c r="A608" s="6"/>
    </row>
    <row r="609" ht="15.75" customHeight="1" spans="1:1">
      <c r="A609" s="6"/>
    </row>
    <row r="610" ht="15.75" customHeight="1" spans="1:1">
      <c r="A610" s="6"/>
    </row>
    <row r="611" ht="15.75" customHeight="1" spans="1:1">
      <c r="A611" s="6"/>
    </row>
    <row r="612" ht="15.75" customHeight="1" spans="1:1">
      <c r="A612" s="6"/>
    </row>
    <row r="613" ht="15.75" customHeight="1" spans="1:1">
      <c r="A613" s="6"/>
    </row>
    <row r="614" ht="15.75" customHeight="1" spans="1:1">
      <c r="A614" s="6"/>
    </row>
    <row r="615" ht="15.75" customHeight="1" spans="1:1">
      <c r="A615" s="6"/>
    </row>
    <row r="616" ht="15.75" customHeight="1" spans="1:1">
      <c r="A616" s="6"/>
    </row>
    <row r="617" ht="15.75" customHeight="1" spans="1:1">
      <c r="A617" s="6"/>
    </row>
    <row r="618" ht="15.75" customHeight="1" spans="1:1">
      <c r="A618" s="6"/>
    </row>
    <row r="619" ht="15.75" customHeight="1" spans="1:1">
      <c r="A619" s="6"/>
    </row>
    <row r="620" ht="15.75" customHeight="1" spans="1:1">
      <c r="A620" s="6"/>
    </row>
    <row r="621" ht="15.75" customHeight="1" spans="1:1">
      <c r="A621" s="6"/>
    </row>
    <row r="622" ht="15.75" customHeight="1" spans="1:1">
      <c r="A622" s="6"/>
    </row>
    <row r="623" ht="15.75" customHeight="1" spans="1:1">
      <c r="A623" s="6"/>
    </row>
    <row r="624" ht="15.75" customHeight="1" spans="1:1">
      <c r="A624" s="6"/>
    </row>
    <row r="625" ht="15.75" customHeight="1" spans="1:1">
      <c r="A625" s="6"/>
    </row>
    <row r="626" ht="15.75" customHeight="1" spans="1:1">
      <c r="A626" s="6"/>
    </row>
    <row r="627" ht="15.75" customHeight="1" spans="1:1">
      <c r="A627" s="6"/>
    </row>
    <row r="628" ht="15.75" customHeight="1" spans="1:1">
      <c r="A628" s="6"/>
    </row>
    <row r="629" ht="15.75" customHeight="1" spans="1:1">
      <c r="A629" s="6"/>
    </row>
    <row r="630" ht="15.75" customHeight="1" spans="1:1">
      <c r="A630" s="6"/>
    </row>
    <row r="631" ht="15.75" customHeight="1" spans="1:1">
      <c r="A631" s="6"/>
    </row>
    <row r="632" ht="15.75" customHeight="1" spans="1:1">
      <c r="A632" s="6"/>
    </row>
    <row r="633" ht="15.75" customHeight="1" spans="1:1">
      <c r="A633" s="6"/>
    </row>
    <row r="634" ht="15.75" customHeight="1" spans="1:1">
      <c r="A634" s="6"/>
    </row>
    <row r="635" ht="15.75" customHeight="1" spans="1:1">
      <c r="A635" s="6"/>
    </row>
    <row r="636" ht="15.75" customHeight="1" spans="1:1">
      <c r="A636" s="6"/>
    </row>
    <row r="637" ht="15.75" customHeight="1" spans="1:1">
      <c r="A637" s="6"/>
    </row>
    <row r="638" ht="15.75" customHeight="1" spans="1:1">
      <c r="A638" s="6"/>
    </row>
    <row r="639" ht="15.75" customHeight="1" spans="1:1">
      <c r="A639" s="6"/>
    </row>
    <row r="640" ht="15.75" customHeight="1" spans="1:1">
      <c r="A640" s="6"/>
    </row>
    <row r="641" ht="15.75" customHeight="1" spans="1:1">
      <c r="A641" s="6"/>
    </row>
    <row r="642" ht="15.75" customHeight="1" spans="1:1">
      <c r="A642" s="6"/>
    </row>
    <row r="643" ht="15.75" customHeight="1" spans="1:1">
      <c r="A643" s="6"/>
    </row>
    <row r="644" ht="15.75" customHeight="1" spans="1:1">
      <c r="A644" s="6"/>
    </row>
    <row r="645" ht="15.75" customHeight="1" spans="1:1">
      <c r="A645" s="6"/>
    </row>
    <row r="646" ht="15.75" customHeight="1" spans="1:1">
      <c r="A646" s="6"/>
    </row>
    <row r="647" ht="15.75" customHeight="1" spans="1:1">
      <c r="A647" s="6"/>
    </row>
    <row r="648" ht="15.75" customHeight="1" spans="1:1">
      <c r="A648" s="6"/>
    </row>
    <row r="649" ht="15.75" customHeight="1" spans="1:1">
      <c r="A649" s="6"/>
    </row>
    <row r="650" ht="15.75" customHeight="1" spans="1:1">
      <c r="A650" s="6"/>
    </row>
    <row r="651" ht="15.75" customHeight="1" spans="1:1">
      <c r="A651" s="6"/>
    </row>
    <row r="652" ht="15.75" customHeight="1" spans="1:1">
      <c r="A652" s="6"/>
    </row>
    <row r="653" ht="15.75" customHeight="1" spans="1:1">
      <c r="A653" s="6"/>
    </row>
    <row r="654" ht="15.75" customHeight="1" spans="1:1">
      <c r="A654" s="6"/>
    </row>
    <row r="655" ht="15.75" customHeight="1" spans="1:1">
      <c r="A655" s="6"/>
    </row>
    <row r="656" ht="15.75" customHeight="1" spans="1:1">
      <c r="A656" s="6"/>
    </row>
    <row r="657" ht="15.75" customHeight="1" spans="1:1">
      <c r="A657" s="6"/>
    </row>
    <row r="658" ht="15.75" customHeight="1" spans="1:1">
      <c r="A658" s="6"/>
    </row>
    <row r="659" ht="15.75" customHeight="1" spans="1:1">
      <c r="A659" s="6"/>
    </row>
    <row r="660" ht="15.75" customHeight="1" spans="1:1">
      <c r="A660" s="6"/>
    </row>
    <row r="661" ht="15.75" customHeight="1" spans="1:1">
      <c r="A661" s="6"/>
    </row>
    <row r="662" ht="15.75" customHeight="1" spans="1:1">
      <c r="A662" s="6"/>
    </row>
    <row r="663" ht="15.75" customHeight="1" spans="1:1">
      <c r="A663" s="6"/>
    </row>
    <row r="664" ht="15.75" customHeight="1" spans="1:1">
      <c r="A664" s="6"/>
    </row>
    <row r="665" ht="15.75" customHeight="1" spans="1:1">
      <c r="A665" s="6"/>
    </row>
    <row r="666" ht="15.75" customHeight="1" spans="1:1">
      <c r="A666" s="6"/>
    </row>
    <row r="667" ht="15.75" customHeight="1" spans="1:1">
      <c r="A667" s="6"/>
    </row>
    <row r="668" ht="15.75" customHeight="1" spans="1:1">
      <c r="A668" s="6"/>
    </row>
    <row r="669" ht="15.75" customHeight="1" spans="1:1">
      <c r="A669" s="6"/>
    </row>
    <row r="670" ht="15.75" customHeight="1" spans="1:1">
      <c r="A670" s="6"/>
    </row>
    <row r="671" ht="15.75" customHeight="1" spans="1:1">
      <c r="A671" s="6"/>
    </row>
    <row r="672" ht="15.75" customHeight="1" spans="1:1">
      <c r="A672" s="6"/>
    </row>
    <row r="673" ht="15.75" customHeight="1" spans="1:1">
      <c r="A673" s="6"/>
    </row>
    <row r="674" ht="15.75" customHeight="1" spans="1:1">
      <c r="A674" s="6"/>
    </row>
    <row r="675" ht="15.75" customHeight="1" spans="1:1">
      <c r="A675" s="6"/>
    </row>
    <row r="676" ht="15.75" customHeight="1" spans="1:1">
      <c r="A676" s="6"/>
    </row>
    <row r="677" ht="15.75" customHeight="1" spans="1:1">
      <c r="A677" s="6"/>
    </row>
    <row r="678" ht="15.75" customHeight="1" spans="1:1">
      <c r="A678" s="6"/>
    </row>
    <row r="679" ht="15.75" customHeight="1" spans="1:1">
      <c r="A679" s="6"/>
    </row>
    <row r="680" ht="15.75" customHeight="1" spans="1:1">
      <c r="A680" s="6"/>
    </row>
    <row r="681" ht="15.75" customHeight="1" spans="1:1">
      <c r="A681" s="6"/>
    </row>
    <row r="682" ht="15.75" customHeight="1" spans="1:1">
      <c r="A682" s="6"/>
    </row>
    <row r="683" ht="15.75" customHeight="1" spans="1:1">
      <c r="A683" s="6"/>
    </row>
    <row r="684" ht="15.75" customHeight="1" spans="1:1">
      <c r="A684" s="6"/>
    </row>
    <row r="685" ht="15.75" customHeight="1" spans="1:1">
      <c r="A685" s="6"/>
    </row>
    <row r="686" ht="15.75" customHeight="1" spans="1:1">
      <c r="A686" s="6"/>
    </row>
    <row r="687" ht="15.75" customHeight="1" spans="1:1">
      <c r="A687" s="6"/>
    </row>
    <row r="688" ht="15.75" customHeight="1" spans="1:1">
      <c r="A688" s="6"/>
    </row>
    <row r="689" ht="15.75" customHeight="1" spans="1:1">
      <c r="A689" s="6"/>
    </row>
    <row r="690" ht="15.75" customHeight="1" spans="1:1">
      <c r="A690" s="6"/>
    </row>
    <row r="691" ht="15.75" customHeight="1" spans="1:1">
      <c r="A691" s="6"/>
    </row>
    <row r="692" ht="15.75" customHeight="1" spans="1:1">
      <c r="A692" s="6"/>
    </row>
    <row r="693" ht="15.75" customHeight="1" spans="1:1">
      <c r="A693" s="6"/>
    </row>
    <row r="694" ht="15.75" customHeight="1" spans="1:1">
      <c r="A694" s="6"/>
    </row>
    <row r="695" ht="15.75" customHeight="1" spans="1:1">
      <c r="A695" s="6"/>
    </row>
    <row r="696" ht="15.75" customHeight="1" spans="1:1">
      <c r="A696" s="6"/>
    </row>
    <row r="697" ht="15.75" customHeight="1" spans="1:1">
      <c r="A697" s="6"/>
    </row>
    <row r="698" ht="15.75" customHeight="1" spans="1:1">
      <c r="A698" s="6"/>
    </row>
    <row r="699" ht="15.75" customHeight="1" spans="1:1">
      <c r="A699" s="6"/>
    </row>
    <row r="700" ht="15.75" customHeight="1" spans="1:1">
      <c r="A700" s="6"/>
    </row>
    <row r="701" ht="15.75" customHeight="1" spans="1:1">
      <c r="A701" s="6"/>
    </row>
    <row r="702" ht="15.75" customHeight="1" spans="1:1">
      <c r="A702" s="6"/>
    </row>
    <row r="703" ht="15.75" customHeight="1" spans="1:1">
      <c r="A703" s="6"/>
    </row>
    <row r="704" ht="15.75" customHeight="1" spans="1:1">
      <c r="A704" s="6"/>
    </row>
    <row r="705" ht="15.75" customHeight="1" spans="1:1">
      <c r="A705" s="6"/>
    </row>
    <row r="706" ht="15.75" customHeight="1" spans="1:1">
      <c r="A706" s="6"/>
    </row>
    <row r="707" ht="15.75" customHeight="1" spans="1:1">
      <c r="A707" s="6"/>
    </row>
    <row r="708" ht="15.75" customHeight="1" spans="1:1">
      <c r="A708" s="6"/>
    </row>
    <row r="709" ht="15.75" customHeight="1" spans="1:1">
      <c r="A709" s="6"/>
    </row>
    <row r="710" ht="15.75" customHeight="1" spans="1:1">
      <c r="A710" s="6"/>
    </row>
    <row r="711" ht="15.75" customHeight="1" spans="1:1">
      <c r="A711" s="6"/>
    </row>
    <row r="712" ht="15.75" customHeight="1" spans="1:1">
      <c r="A712" s="6"/>
    </row>
    <row r="713" ht="15.75" customHeight="1" spans="1:1">
      <c r="A713" s="6"/>
    </row>
    <row r="714" ht="15.75" customHeight="1" spans="1:1">
      <c r="A714" s="6"/>
    </row>
    <row r="715" ht="15.75" customHeight="1" spans="1:1">
      <c r="A715" s="6"/>
    </row>
    <row r="716" ht="15.75" customHeight="1" spans="1:1">
      <c r="A716" s="6"/>
    </row>
    <row r="717" ht="15.75" customHeight="1" spans="1:1">
      <c r="A717" s="6"/>
    </row>
    <row r="718" ht="15.75" customHeight="1" spans="1:1">
      <c r="A718" s="6"/>
    </row>
    <row r="719" ht="15.75" customHeight="1" spans="1:1">
      <c r="A719" s="6"/>
    </row>
    <row r="720" ht="15.75" customHeight="1" spans="1:1">
      <c r="A720" s="6"/>
    </row>
    <row r="721" ht="15.75" customHeight="1" spans="1:1">
      <c r="A721" s="6"/>
    </row>
    <row r="722" ht="15.75" customHeight="1" spans="1:1">
      <c r="A722" s="6"/>
    </row>
    <row r="723" ht="15.75" customHeight="1" spans="1:1">
      <c r="A723" s="6"/>
    </row>
    <row r="724" ht="15.75" customHeight="1" spans="1:1">
      <c r="A724" s="6"/>
    </row>
    <row r="725" ht="15.75" customHeight="1" spans="1:1">
      <c r="A725" s="6"/>
    </row>
    <row r="726" ht="15.75" customHeight="1" spans="1:1">
      <c r="A726" s="6"/>
    </row>
    <row r="727" ht="15.75" customHeight="1" spans="1:1">
      <c r="A727" s="6"/>
    </row>
    <row r="728" ht="15.75" customHeight="1" spans="1:1">
      <c r="A728" s="6"/>
    </row>
    <row r="729" ht="15.75" customHeight="1" spans="1:1">
      <c r="A729" s="6"/>
    </row>
    <row r="730" ht="15.75" customHeight="1" spans="1:1">
      <c r="A730" s="6"/>
    </row>
    <row r="731" ht="15.75" customHeight="1" spans="1:1">
      <c r="A731" s="6"/>
    </row>
    <row r="732" ht="15.75" customHeight="1" spans="1:1">
      <c r="A732" s="6"/>
    </row>
    <row r="733" ht="15.75" customHeight="1" spans="1:1">
      <c r="A733" s="6"/>
    </row>
    <row r="734" ht="15.75" customHeight="1" spans="1:1">
      <c r="A734" s="6"/>
    </row>
    <row r="735" ht="15.75" customHeight="1" spans="1:1">
      <c r="A735" s="6"/>
    </row>
    <row r="736" ht="15.75" customHeight="1" spans="1:1">
      <c r="A736" s="6"/>
    </row>
    <row r="737" ht="15.75" customHeight="1" spans="1:1">
      <c r="A737" s="6"/>
    </row>
    <row r="738" ht="15.75" customHeight="1" spans="1:1">
      <c r="A738" s="6"/>
    </row>
    <row r="739" ht="15.75" customHeight="1" spans="1:1">
      <c r="A739" s="6"/>
    </row>
    <row r="740" ht="15.75" customHeight="1" spans="1:1">
      <c r="A740" s="6"/>
    </row>
    <row r="741" ht="15.75" customHeight="1" spans="1:1">
      <c r="A741" s="6"/>
    </row>
    <row r="742" ht="15.75" customHeight="1" spans="1:1">
      <c r="A742" s="6"/>
    </row>
    <row r="743" ht="15.75" customHeight="1" spans="1:1">
      <c r="A743" s="6"/>
    </row>
    <row r="744" ht="15.75" customHeight="1" spans="1:1">
      <c r="A744" s="6"/>
    </row>
    <row r="745" ht="15.75" customHeight="1" spans="1:1">
      <c r="A745" s="6"/>
    </row>
    <row r="746" ht="15.75" customHeight="1" spans="1:1">
      <c r="A746" s="6"/>
    </row>
    <row r="747" ht="15.75" customHeight="1" spans="1:1">
      <c r="A747" s="6"/>
    </row>
    <row r="748" ht="15.75" customHeight="1" spans="1:1">
      <c r="A748" s="6"/>
    </row>
    <row r="749" ht="15.75" customHeight="1" spans="1:1">
      <c r="A749" s="6"/>
    </row>
    <row r="750" ht="15.75" customHeight="1" spans="1:1">
      <c r="A750" s="6"/>
    </row>
    <row r="751" ht="15.75" customHeight="1" spans="1:1">
      <c r="A751" s="6"/>
    </row>
    <row r="752" ht="15.75" customHeight="1" spans="1:1">
      <c r="A752" s="6"/>
    </row>
    <row r="753" ht="15.75" customHeight="1" spans="1:1">
      <c r="A753" s="6"/>
    </row>
    <row r="754" ht="15.75" customHeight="1" spans="1:1">
      <c r="A754" s="6"/>
    </row>
    <row r="755" ht="15.75" customHeight="1" spans="1:1">
      <c r="A755" s="6"/>
    </row>
    <row r="756" ht="15.75" customHeight="1" spans="1:1">
      <c r="A756" s="6"/>
    </row>
    <row r="757" ht="15.75" customHeight="1" spans="1:1">
      <c r="A757" s="6"/>
    </row>
    <row r="758" ht="15.75" customHeight="1" spans="1:1">
      <c r="A758" s="6"/>
    </row>
    <row r="759" ht="15.75" customHeight="1" spans="1:1">
      <c r="A759" s="6"/>
    </row>
    <row r="760" ht="15.75" customHeight="1" spans="1:1">
      <c r="A760" s="6"/>
    </row>
    <row r="761" ht="15.75" customHeight="1" spans="1:1">
      <c r="A761" s="6"/>
    </row>
    <row r="762" ht="15.75" customHeight="1" spans="1:1">
      <c r="A762" s="6"/>
    </row>
    <row r="763" ht="15.75" customHeight="1" spans="1:1">
      <c r="A763" s="6"/>
    </row>
    <row r="764" ht="15.75" customHeight="1" spans="1:1">
      <c r="A764" s="6"/>
    </row>
    <row r="765" ht="15.75" customHeight="1" spans="1:1">
      <c r="A765" s="6"/>
    </row>
    <row r="766" ht="15.75" customHeight="1" spans="1:1">
      <c r="A766" s="6"/>
    </row>
    <row r="767" ht="15.75" customHeight="1" spans="1:1">
      <c r="A767" s="6"/>
    </row>
    <row r="768" ht="15.75" customHeight="1" spans="1:1">
      <c r="A768" s="6"/>
    </row>
    <row r="769" ht="15.75" customHeight="1" spans="1:1">
      <c r="A769" s="6"/>
    </row>
    <row r="770" ht="15.75" customHeight="1" spans="1:1">
      <c r="A770" s="6"/>
    </row>
    <row r="771" ht="15.75" customHeight="1" spans="1:1">
      <c r="A771" s="6"/>
    </row>
    <row r="772" ht="15.75" customHeight="1" spans="1:1">
      <c r="A772" s="6"/>
    </row>
    <row r="773" ht="15.75" customHeight="1" spans="1:1">
      <c r="A773" s="6"/>
    </row>
    <row r="774" ht="15.75" customHeight="1" spans="1:1">
      <c r="A774" s="6"/>
    </row>
    <row r="775" ht="15.75" customHeight="1" spans="1:1">
      <c r="A775" s="6"/>
    </row>
    <row r="776" ht="15.75" customHeight="1" spans="1:1">
      <c r="A776" s="6"/>
    </row>
    <row r="777" ht="15.75" customHeight="1" spans="1:1">
      <c r="A777" s="6"/>
    </row>
    <row r="778" ht="15.75" customHeight="1" spans="1:1">
      <c r="A778" s="6"/>
    </row>
    <row r="779" ht="15.75" customHeight="1" spans="1:1">
      <c r="A779" s="6"/>
    </row>
    <row r="780" ht="15.75" customHeight="1" spans="1:1">
      <c r="A780" s="6"/>
    </row>
    <row r="781" ht="15.75" customHeight="1" spans="1:1">
      <c r="A781" s="6"/>
    </row>
    <row r="782" ht="15.75" customHeight="1" spans="1:1">
      <c r="A782" s="6"/>
    </row>
    <row r="783" ht="15.75" customHeight="1" spans="1:1">
      <c r="A783" s="6"/>
    </row>
    <row r="784" ht="15.75" customHeight="1" spans="1:1">
      <c r="A784" s="6"/>
    </row>
    <row r="785" ht="15.75" customHeight="1" spans="1:1">
      <c r="A785" s="6"/>
    </row>
    <row r="786" ht="15.75" customHeight="1" spans="1:1">
      <c r="A786" s="6"/>
    </row>
    <row r="787" ht="15.75" customHeight="1" spans="1:1">
      <c r="A787" s="6"/>
    </row>
    <row r="788" ht="15.75" customHeight="1" spans="1:1">
      <c r="A788" s="6"/>
    </row>
    <row r="789" ht="15.75" customHeight="1" spans="1:1">
      <c r="A789" s="6"/>
    </row>
    <row r="790" ht="15.75" customHeight="1" spans="1:1">
      <c r="A790" s="6"/>
    </row>
    <row r="791" ht="15.75" customHeight="1" spans="1:1">
      <c r="A791" s="6"/>
    </row>
    <row r="792" ht="15.75" customHeight="1" spans="1:1">
      <c r="A792" s="6"/>
    </row>
    <row r="793" ht="15.75" customHeight="1" spans="1:1">
      <c r="A793" s="6"/>
    </row>
    <row r="794" ht="15.75" customHeight="1" spans="1:1">
      <c r="A794" s="6"/>
    </row>
    <row r="795" ht="15.75" customHeight="1" spans="1:1">
      <c r="A795" s="6"/>
    </row>
    <row r="796" ht="15.75" customHeight="1" spans="1:1">
      <c r="A796" s="6"/>
    </row>
    <row r="797" ht="15.75" customHeight="1" spans="1:1">
      <c r="A797" s="6"/>
    </row>
    <row r="798" ht="15.75" customHeight="1" spans="1:1">
      <c r="A798" s="6"/>
    </row>
    <row r="799" ht="15.75" customHeight="1" spans="1:1">
      <c r="A799" s="6"/>
    </row>
    <row r="800" ht="15.75" customHeight="1" spans="1:1">
      <c r="A800" s="6"/>
    </row>
    <row r="801" ht="15.75" customHeight="1" spans="1:1">
      <c r="A801" s="6"/>
    </row>
    <row r="802" ht="15.75" customHeight="1" spans="1:1">
      <c r="A802" s="6"/>
    </row>
    <row r="803" ht="15.75" customHeight="1" spans="1:1">
      <c r="A803" s="6"/>
    </row>
    <row r="804" ht="15.75" customHeight="1" spans="1:1">
      <c r="A804" s="6"/>
    </row>
    <row r="805" ht="15.75" customHeight="1" spans="1:1">
      <c r="A805" s="6"/>
    </row>
    <row r="806" ht="15.75" customHeight="1" spans="1:1">
      <c r="A806" s="6"/>
    </row>
    <row r="807" ht="15.75" customHeight="1" spans="1:1">
      <c r="A807" s="6"/>
    </row>
    <row r="808" ht="15.75" customHeight="1" spans="1:1">
      <c r="A808" s="6"/>
    </row>
    <row r="809" ht="15.75" customHeight="1" spans="1:1">
      <c r="A809" s="6"/>
    </row>
    <row r="810" ht="15.75" customHeight="1" spans="1:1">
      <c r="A810" s="6"/>
    </row>
    <row r="811" ht="15.75" customHeight="1" spans="1:1">
      <c r="A811" s="6"/>
    </row>
    <row r="812" ht="15.75" customHeight="1" spans="1:1">
      <c r="A812" s="6"/>
    </row>
    <row r="813" ht="15.75" customHeight="1" spans="1:1">
      <c r="A813" s="6"/>
    </row>
    <row r="814" ht="15.75" customHeight="1" spans="1:1">
      <c r="A814" s="6"/>
    </row>
    <row r="815" ht="15.75" customHeight="1" spans="1:1">
      <c r="A815" s="6"/>
    </row>
    <row r="816" ht="15.75" customHeight="1" spans="1:1">
      <c r="A816" s="6"/>
    </row>
    <row r="817" ht="15.75" customHeight="1" spans="1:1">
      <c r="A817" s="6"/>
    </row>
    <row r="818" ht="15.75" customHeight="1" spans="1:1">
      <c r="A818" s="6"/>
    </row>
    <row r="819" ht="15.75" customHeight="1" spans="1:1">
      <c r="A819" s="6"/>
    </row>
    <row r="820" ht="15.75" customHeight="1" spans="1:1">
      <c r="A820" s="6"/>
    </row>
    <row r="821" ht="15.75" customHeight="1" spans="1:1">
      <c r="A821" s="6"/>
    </row>
    <row r="822" ht="15.75" customHeight="1" spans="1:1">
      <c r="A822" s="6"/>
    </row>
    <row r="823" ht="15.75" customHeight="1" spans="1:1">
      <c r="A823" s="6"/>
    </row>
    <row r="824" ht="15.75" customHeight="1" spans="1:1">
      <c r="A824" s="6"/>
    </row>
    <row r="825" ht="15.75" customHeight="1" spans="1:1">
      <c r="A825" s="6"/>
    </row>
    <row r="826" ht="15.75" customHeight="1" spans="1:1">
      <c r="A826" s="6"/>
    </row>
    <row r="827" ht="15.75" customHeight="1" spans="1:1">
      <c r="A827" s="6"/>
    </row>
    <row r="828" ht="15.75" customHeight="1" spans="1:1">
      <c r="A828" s="6"/>
    </row>
    <row r="829" ht="15.75" customHeight="1" spans="1:1">
      <c r="A829" s="6"/>
    </row>
    <row r="830" ht="15.75" customHeight="1" spans="1:1">
      <c r="A830" s="6"/>
    </row>
    <row r="831" ht="15.75" customHeight="1" spans="1:1">
      <c r="A831" s="6"/>
    </row>
    <row r="832" ht="15.75" customHeight="1" spans="1:1">
      <c r="A832" s="6"/>
    </row>
    <row r="833" ht="15.75" customHeight="1" spans="1:1">
      <c r="A833" s="6"/>
    </row>
    <row r="834" ht="15.75" customHeight="1" spans="1:1">
      <c r="A834" s="6"/>
    </row>
    <row r="835" ht="15.75" customHeight="1" spans="1:1">
      <c r="A835" s="6"/>
    </row>
    <row r="836" ht="15.75" customHeight="1" spans="1:1">
      <c r="A836" s="6"/>
    </row>
    <row r="837" ht="15.75" customHeight="1" spans="1:1">
      <c r="A837" s="6"/>
    </row>
    <row r="838" ht="15.75" customHeight="1" spans="1:1">
      <c r="A838" s="6"/>
    </row>
    <row r="839" ht="15.75" customHeight="1" spans="1:1">
      <c r="A839" s="6"/>
    </row>
    <row r="840" ht="15.75" customHeight="1" spans="1:1">
      <c r="A840" s="6"/>
    </row>
    <row r="841" ht="15.75" customHeight="1" spans="1:1">
      <c r="A841" s="6"/>
    </row>
    <row r="842" ht="15.75" customHeight="1" spans="1:1">
      <c r="A842" s="6"/>
    </row>
    <row r="843" ht="15.75" customHeight="1" spans="1:1">
      <c r="A843" s="6"/>
    </row>
    <row r="844" ht="15.75" customHeight="1" spans="1:1">
      <c r="A844" s="6"/>
    </row>
    <row r="845" ht="15.75" customHeight="1" spans="1:1">
      <c r="A845" s="6"/>
    </row>
    <row r="846" ht="15.75" customHeight="1" spans="1:1">
      <c r="A846" s="6"/>
    </row>
    <row r="847" ht="15.75" customHeight="1" spans="1:1">
      <c r="A847" s="6"/>
    </row>
    <row r="848" ht="15.75" customHeight="1" spans="1:1">
      <c r="A848" s="6"/>
    </row>
    <row r="849" ht="15.75" customHeight="1" spans="1:1">
      <c r="A849" s="6"/>
    </row>
    <row r="850" ht="15.75" customHeight="1" spans="1:1">
      <c r="A850" s="6"/>
    </row>
    <row r="851" ht="15.75" customHeight="1" spans="1:1">
      <c r="A851" s="6"/>
    </row>
    <row r="852" ht="15.75" customHeight="1" spans="1:1">
      <c r="A852" s="6"/>
    </row>
    <row r="853" ht="15.75" customHeight="1" spans="1:1">
      <c r="A853" s="6"/>
    </row>
    <row r="854" ht="15.75" customHeight="1" spans="1:1">
      <c r="A854" s="6"/>
    </row>
    <row r="855" ht="15.75" customHeight="1" spans="1:1">
      <c r="A855" s="6"/>
    </row>
    <row r="856" ht="15.75" customHeight="1" spans="1:1">
      <c r="A856" s="6"/>
    </row>
    <row r="857" ht="15.75" customHeight="1" spans="1:1">
      <c r="A857" s="6"/>
    </row>
    <row r="858" ht="15.75" customHeight="1" spans="1:1">
      <c r="A858" s="6"/>
    </row>
    <row r="859" ht="15.75" customHeight="1" spans="1:1">
      <c r="A859" s="6"/>
    </row>
    <row r="860" ht="15.75" customHeight="1" spans="1:1">
      <c r="A860" s="6"/>
    </row>
    <row r="861" ht="15.75" customHeight="1" spans="1:1">
      <c r="A861" s="6"/>
    </row>
    <row r="862" ht="15.75" customHeight="1" spans="1:1">
      <c r="A862" s="6"/>
    </row>
    <row r="863" ht="15.75" customHeight="1" spans="1:1">
      <c r="A863" s="6"/>
    </row>
    <row r="864" ht="15.75" customHeight="1" spans="1:1">
      <c r="A864" s="6"/>
    </row>
    <row r="865" ht="15.75" customHeight="1" spans="1:1">
      <c r="A865" s="6"/>
    </row>
    <row r="866" ht="15.75" customHeight="1" spans="1:1">
      <c r="A866" s="6"/>
    </row>
    <row r="867" ht="15.75" customHeight="1" spans="1:1">
      <c r="A867" s="6"/>
    </row>
    <row r="868" ht="15.75" customHeight="1" spans="1:1">
      <c r="A868" s="6"/>
    </row>
    <row r="869" ht="15.75" customHeight="1" spans="1:1">
      <c r="A869" s="6"/>
    </row>
    <row r="870" ht="15.75" customHeight="1" spans="1:1">
      <c r="A870" s="6"/>
    </row>
    <row r="871" ht="15.75" customHeight="1" spans="1:1">
      <c r="A871" s="6"/>
    </row>
    <row r="872" ht="15.75" customHeight="1" spans="1:1">
      <c r="A872" s="6"/>
    </row>
    <row r="873" ht="15.75" customHeight="1" spans="1:1">
      <c r="A873" s="6"/>
    </row>
    <row r="874" ht="15.75" customHeight="1" spans="1:1">
      <c r="A874" s="6"/>
    </row>
    <row r="875" ht="15.75" customHeight="1" spans="1:1">
      <c r="A875" s="6"/>
    </row>
    <row r="876" ht="15.75" customHeight="1" spans="1:1">
      <c r="A876" s="6"/>
    </row>
    <row r="877" ht="15.75" customHeight="1" spans="1:1">
      <c r="A877" s="6"/>
    </row>
    <row r="878" ht="15.75" customHeight="1" spans="1:1">
      <c r="A878" s="6"/>
    </row>
    <row r="879" ht="15.75" customHeight="1" spans="1:1">
      <c r="A879" s="6"/>
    </row>
    <row r="880" ht="15.75" customHeight="1" spans="1:1">
      <c r="A880" s="6"/>
    </row>
    <row r="881" ht="15.75" customHeight="1" spans="1:1">
      <c r="A881" s="6"/>
    </row>
    <row r="882" ht="15.75" customHeight="1" spans="1:1">
      <c r="A882" s="6"/>
    </row>
    <row r="883" ht="15.75" customHeight="1" spans="1:1">
      <c r="A883" s="6"/>
    </row>
    <row r="884" ht="15.75" customHeight="1" spans="1:1">
      <c r="A884" s="6"/>
    </row>
    <row r="885" ht="15.75" customHeight="1" spans="1:1">
      <c r="A885" s="6"/>
    </row>
    <row r="886" ht="15.75" customHeight="1" spans="1:1">
      <c r="A886" s="6"/>
    </row>
    <row r="887" ht="15.75" customHeight="1" spans="1:1">
      <c r="A887" s="6"/>
    </row>
    <row r="888" ht="15.75" customHeight="1" spans="1:1">
      <c r="A888" s="6"/>
    </row>
    <row r="889" ht="15.75" customHeight="1" spans="1:1">
      <c r="A889" s="6"/>
    </row>
    <row r="890" ht="15.75" customHeight="1" spans="1:1">
      <c r="A890" s="6"/>
    </row>
    <row r="891" ht="15.75" customHeight="1" spans="1:1">
      <c r="A891" s="6"/>
    </row>
    <row r="892" ht="15.75" customHeight="1" spans="1:1">
      <c r="A892" s="6"/>
    </row>
    <row r="893" ht="15.75" customHeight="1" spans="1:1">
      <c r="A893" s="6"/>
    </row>
    <row r="894" ht="15.75" customHeight="1" spans="1:1">
      <c r="A894" s="6"/>
    </row>
    <row r="895" ht="15.75" customHeight="1" spans="1:1">
      <c r="A895" s="6"/>
    </row>
    <row r="896" ht="15.75" customHeight="1" spans="1:1">
      <c r="A896" s="6"/>
    </row>
    <row r="897" ht="15.75" customHeight="1" spans="1:1">
      <c r="A897" s="6"/>
    </row>
    <row r="898" ht="15.75" customHeight="1" spans="1:1">
      <c r="A898" s="6"/>
    </row>
    <row r="899" ht="15.75" customHeight="1" spans="1:1">
      <c r="A899" s="6"/>
    </row>
    <row r="900" ht="15.75" customHeight="1" spans="1:1">
      <c r="A900" s="6"/>
    </row>
    <row r="901" ht="15.75" customHeight="1" spans="1:1">
      <c r="A901" s="6"/>
    </row>
    <row r="902" ht="15.75" customHeight="1" spans="1:1">
      <c r="A902" s="6"/>
    </row>
    <row r="903" ht="15.75" customHeight="1" spans="1:1">
      <c r="A903" s="6"/>
    </row>
    <row r="904" ht="15.75" customHeight="1" spans="1:1">
      <c r="A904" s="6"/>
    </row>
    <row r="905" ht="15.75" customHeight="1" spans="1:1">
      <c r="A905" s="6"/>
    </row>
    <row r="906" ht="15.75" customHeight="1" spans="1:1">
      <c r="A906" s="6"/>
    </row>
    <row r="907" ht="15.75" customHeight="1" spans="1:1">
      <c r="A907" s="6"/>
    </row>
    <row r="908" ht="15.75" customHeight="1" spans="1:1">
      <c r="A908" s="6"/>
    </row>
    <row r="909" ht="15.75" customHeight="1" spans="1:1">
      <c r="A909" s="6"/>
    </row>
    <row r="910" ht="15.75" customHeight="1" spans="1:1">
      <c r="A910" s="6"/>
    </row>
    <row r="911" ht="15.75" customHeight="1" spans="1:1">
      <c r="A911" s="6"/>
    </row>
    <row r="912" ht="15.75" customHeight="1" spans="1:1">
      <c r="A912" s="6"/>
    </row>
    <row r="913" ht="15.75" customHeight="1" spans="1:1">
      <c r="A913" s="6"/>
    </row>
    <row r="914" ht="15.75" customHeight="1" spans="1:1">
      <c r="A914" s="6"/>
    </row>
    <row r="915" ht="15.75" customHeight="1" spans="1:1">
      <c r="A915" s="6"/>
    </row>
    <row r="916" ht="15.75" customHeight="1" spans="1:1">
      <c r="A916" s="6"/>
    </row>
    <row r="917" ht="15.75" customHeight="1" spans="1:1">
      <c r="A917" s="6"/>
    </row>
    <row r="918" ht="15.75" customHeight="1" spans="1:1">
      <c r="A918" s="6"/>
    </row>
    <row r="919" ht="15.75" customHeight="1" spans="1:1">
      <c r="A919" s="6"/>
    </row>
    <row r="920" ht="15.75" customHeight="1" spans="1:1">
      <c r="A920" s="6"/>
    </row>
    <row r="921" ht="15.75" customHeight="1" spans="1:1">
      <c r="A921" s="6"/>
    </row>
    <row r="922" ht="15.75" customHeight="1" spans="1:1">
      <c r="A922" s="6"/>
    </row>
    <row r="923" ht="15.75" customHeight="1" spans="1:1">
      <c r="A923" s="6"/>
    </row>
    <row r="924" ht="15.75" customHeight="1" spans="1:1">
      <c r="A924" s="6"/>
    </row>
    <row r="925" ht="15.75" customHeight="1" spans="1:1">
      <c r="A925" s="6"/>
    </row>
    <row r="926" ht="15.75" customHeight="1" spans="1:1">
      <c r="A926" s="6"/>
    </row>
    <row r="927" ht="15.75" customHeight="1" spans="1:1">
      <c r="A927" s="6"/>
    </row>
    <row r="928" ht="15.75" customHeight="1" spans="1:1">
      <c r="A928" s="6"/>
    </row>
    <row r="929" ht="15.75" customHeight="1" spans="1:1">
      <c r="A929" s="6"/>
    </row>
    <row r="930" ht="15.75" customHeight="1" spans="1:1">
      <c r="A930" s="6"/>
    </row>
    <row r="931" ht="15.75" customHeight="1" spans="1:1">
      <c r="A931" s="6"/>
    </row>
    <row r="932" ht="15.75" customHeight="1" spans="1:1">
      <c r="A932" s="6"/>
    </row>
    <row r="933" ht="15.75" customHeight="1" spans="1:1">
      <c r="A933" s="6"/>
    </row>
    <row r="934" ht="15.75" customHeight="1" spans="1:1">
      <c r="A934" s="6"/>
    </row>
    <row r="935" ht="15.75" customHeight="1" spans="1:1">
      <c r="A935" s="6"/>
    </row>
    <row r="936" ht="15.75" customHeight="1" spans="1:1">
      <c r="A936" s="6"/>
    </row>
    <row r="937" ht="15.75" customHeight="1" spans="1:1">
      <c r="A937" s="6"/>
    </row>
    <row r="938" ht="15.75" customHeight="1" spans="1:1">
      <c r="A938" s="6"/>
    </row>
    <row r="939" ht="15.75" customHeight="1" spans="1:1">
      <c r="A939" s="6"/>
    </row>
    <row r="940" ht="15.75" customHeight="1" spans="1:1">
      <c r="A940" s="6"/>
    </row>
    <row r="941" ht="15.75" customHeight="1" spans="1:1">
      <c r="A941" s="6"/>
    </row>
    <row r="942" ht="15.75" customHeight="1" spans="1:1">
      <c r="A942" s="6"/>
    </row>
    <row r="943" ht="15.75" customHeight="1" spans="1:1">
      <c r="A943" s="6"/>
    </row>
    <row r="944" ht="15.75" customHeight="1" spans="1:1">
      <c r="A944" s="6"/>
    </row>
    <row r="945" ht="15.75" customHeight="1" spans="1:1">
      <c r="A945" s="6"/>
    </row>
    <row r="946" ht="15.75" customHeight="1" spans="1:1">
      <c r="A946" s="6"/>
    </row>
    <row r="947" ht="15.75" customHeight="1" spans="1:1">
      <c r="A947" s="6"/>
    </row>
    <row r="948" ht="15.75" customHeight="1" spans="1:1">
      <c r="A948" s="6"/>
    </row>
    <row r="949" ht="15.75" customHeight="1" spans="1:1">
      <c r="A949" s="6"/>
    </row>
    <row r="950" ht="15.75" customHeight="1" spans="1:1">
      <c r="A950" s="6"/>
    </row>
    <row r="951" ht="15.75" customHeight="1" spans="1:1">
      <c r="A951" s="6"/>
    </row>
    <row r="952" ht="15.75" customHeight="1" spans="1:1">
      <c r="A952" s="6"/>
    </row>
    <row r="953" ht="15.75" customHeight="1" spans="1:1">
      <c r="A953" s="6"/>
    </row>
    <row r="954" ht="15.75" customHeight="1" spans="1:1">
      <c r="A954" s="6"/>
    </row>
    <row r="955" ht="15.75" customHeight="1" spans="1:1">
      <c r="A955" s="6"/>
    </row>
    <row r="956" ht="15.75" customHeight="1" spans="1:1">
      <c r="A956" s="6"/>
    </row>
    <row r="957" ht="15.75" customHeight="1" spans="1:1">
      <c r="A957" s="6"/>
    </row>
    <row r="958" ht="15.75" customHeight="1" spans="1:1">
      <c r="A958" s="6"/>
    </row>
    <row r="959" ht="15.75" customHeight="1" spans="1:1">
      <c r="A959" s="6"/>
    </row>
    <row r="960" ht="15.75" customHeight="1" spans="1:1">
      <c r="A960" s="6"/>
    </row>
    <row r="961" ht="15.75" customHeight="1" spans="1:1">
      <c r="A961" s="6"/>
    </row>
    <row r="962" ht="15.75" customHeight="1" spans="1:1">
      <c r="A962" s="6"/>
    </row>
    <row r="963" ht="15.75" customHeight="1" spans="1:1">
      <c r="A963" s="6"/>
    </row>
    <row r="964" ht="15.75" customHeight="1" spans="1:1">
      <c r="A964" s="6"/>
    </row>
    <row r="965" ht="15.75" customHeight="1" spans="1:1">
      <c r="A965" s="6"/>
    </row>
    <row r="966" ht="15.75" customHeight="1" spans="1:1">
      <c r="A966" s="6"/>
    </row>
    <row r="967" ht="15.75" customHeight="1" spans="1:1">
      <c r="A967" s="6"/>
    </row>
    <row r="968" ht="15.75" customHeight="1" spans="1:1">
      <c r="A968" s="6"/>
    </row>
    <row r="969" ht="15.75" customHeight="1" spans="1:1">
      <c r="A969" s="6"/>
    </row>
    <row r="970" ht="15.75" customHeight="1" spans="1:1">
      <c r="A970" s="6"/>
    </row>
    <row r="971" ht="15.75" customHeight="1" spans="1:1">
      <c r="A971" s="6"/>
    </row>
    <row r="972" ht="15.75" customHeight="1" spans="1:1">
      <c r="A972" s="6"/>
    </row>
    <row r="973" ht="15.75" customHeight="1" spans="1:1">
      <c r="A973" s="6"/>
    </row>
    <row r="974" ht="15.75" customHeight="1" spans="1:1">
      <c r="A974" s="6"/>
    </row>
    <row r="975" ht="15.75" customHeight="1" spans="1:1">
      <c r="A975" s="6"/>
    </row>
    <row r="976" ht="15.75" customHeight="1" spans="1:1">
      <c r="A976" s="6"/>
    </row>
    <row r="977" ht="15.75" customHeight="1" spans="1:1">
      <c r="A977" s="6"/>
    </row>
    <row r="978" ht="15.75" customHeight="1" spans="1:1">
      <c r="A978" s="6"/>
    </row>
    <row r="979" ht="15.75" customHeight="1" spans="1:1">
      <c r="A979" s="6"/>
    </row>
    <row r="980" ht="15.75" customHeight="1" spans="1:1">
      <c r="A980" s="6"/>
    </row>
    <row r="981" ht="15.75" customHeight="1" spans="1:1">
      <c r="A981" s="6"/>
    </row>
    <row r="982" ht="15.75" customHeight="1" spans="1:1">
      <c r="A982" s="6"/>
    </row>
    <row r="983" ht="15.75" customHeight="1" spans="1:1">
      <c r="A983" s="6"/>
    </row>
    <row r="984" ht="15.75" customHeight="1" spans="1:1">
      <c r="A984" s="6"/>
    </row>
    <row r="985" ht="15.75" customHeight="1" spans="1:1">
      <c r="A985" s="6"/>
    </row>
    <row r="986" ht="15.75" customHeight="1" spans="1:1">
      <c r="A986" s="6"/>
    </row>
    <row r="987" ht="15.75" customHeight="1" spans="1:1">
      <c r="A987" s="6"/>
    </row>
    <row r="988" ht="15.75" customHeight="1" spans="1:1">
      <c r="A988" s="6"/>
    </row>
    <row r="989" ht="15.75" customHeight="1" spans="1:1">
      <c r="A989" s="6"/>
    </row>
    <row r="990" ht="15.75" customHeight="1" spans="1:1">
      <c r="A990" s="6"/>
    </row>
    <row r="991" ht="15.75" customHeight="1" spans="1:1">
      <c r="A991" s="6"/>
    </row>
    <row r="992" ht="15.75" customHeight="1" spans="1:1">
      <c r="A992" s="6"/>
    </row>
    <row r="993" ht="15.75" customHeight="1" spans="1:1">
      <c r="A993" s="6"/>
    </row>
    <row r="994" ht="15.75" customHeight="1" spans="1:1">
      <c r="A994" s="6"/>
    </row>
    <row r="995" ht="15.75" customHeight="1" spans="1:1">
      <c r="A995" s="6"/>
    </row>
    <row r="996" ht="15.75" customHeight="1" spans="1:1">
      <c r="A996" s="6"/>
    </row>
    <row r="997" ht="15.75" customHeight="1" spans="1:1">
      <c r="A997" s="6"/>
    </row>
    <row r="998" ht="15.75" customHeight="1" spans="1:1">
      <c r="A998" s="6"/>
    </row>
    <row r="999" ht="15.75" customHeight="1" spans="1:1">
      <c r="A999" s="6"/>
    </row>
    <row r="1000" ht="15.75" customHeight="1" spans="1:1">
      <c r="A1000" s="6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2026-07-05T16:36:39Z</dcterms:created>
  <dcterms:modified xsi:type="dcterms:W3CDTF">2026-07-05T16:38:31Z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B90EC6696C64449F88218A704E69187E_13</vt:lpwstr>
  </property>
  <property fmtid="{D5CDD505-2E9C-101B-9397-08002B2CF9AE}" pid="3" name="KSOProductBuildVer">
    <vt:lpwstr>1066-12.1.0.26880</vt:lpwstr>
  </property>
  <property fmtid="{D5CDD505-2E9C-101B-9397-08002B2CF9AE}" pid="4" name="CalculationRule">
    <vt:i4>0</vt:i4>
  </property>
</Properties>
</file>